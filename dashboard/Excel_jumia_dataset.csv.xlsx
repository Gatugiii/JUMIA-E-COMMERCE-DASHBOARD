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8.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7a1250b87e27ee9b/Documents/"/>
    </mc:Choice>
  </mc:AlternateContent>
  <xr:revisionPtr revIDLastSave="0" documentId="14_{0EE7CE49-9513-4FCF-91F7-1357A1F43662}" xr6:coauthVersionLast="47" xr6:coauthVersionMax="47" xr10:uidLastSave="{00000000-0000-0000-0000-000000000000}"/>
  <bookViews>
    <workbookView xWindow="-110" yWindow="-110" windowWidth="19420" windowHeight="10540" firstSheet="10" activeTab="12" xr2:uid="{8CEF7A9E-E837-49DC-AF4F-5C1AA92A15C2}"/>
  </bookViews>
  <sheets>
    <sheet name="Excel_jumia_dataset" sheetId="1" r:id="rId1"/>
    <sheet name="CLEANED" sheetId="2" r:id="rId2"/>
    <sheet name="Sheet11" sheetId="18" r:id="rId3"/>
    <sheet name="DESCRIPTIVE STATISTICS" sheetId="3" r:id="rId4"/>
    <sheet name="TOP 5 LOWEST RANKING" sheetId="6" r:id="rId5"/>
    <sheet name="TOP 10 RATING BY DISCOUNT " sheetId="7" r:id="rId6"/>
    <sheet name="TOP 10 BY NUMBER OF REVIEWS" sheetId="8" r:id="rId7"/>
    <sheet name="TOP 10 HIGHEST RATED PRODUCTS" sheetId="9" r:id="rId8"/>
    <sheet name="TOP 5 LOWEST RATED PRODUCTS" sheetId="10" r:id="rId9"/>
    <sheet name="HIGH RATING +LOW DISCOUNT PRODU" sheetId="11" r:id="rId10"/>
    <sheet name="TREND ANALYSIS" sheetId="12" r:id="rId11"/>
    <sheet name="SLICERS" sheetId="14" r:id="rId12"/>
    <sheet name="DASHBOARD" sheetId="13" r:id="rId13"/>
  </sheets>
  <definedNames>
    <definedName name="_xlnm._FilterDatabase" localSheetId="9" hidden="1">'HIGH RATING +LOW DISCOUNT PRODU'!$A$1:$U$115</definedName>
    <definedName name="_xlnm._FilterDatabase" localSheetId="6" hidden="1">'TOP 10 BY NUMBER OF REVIEWS'!$A$1:$U$115</definedName>
    <definedName name="_xlnm._FilterDatabase" localSheetId="7" hidden="1">'TOP 10 HIGHEST RATED PRODUCTS'!$A$1:$U$115</definedName>
    <definedName name="_xlnm._FilterDatabase" localSheetId="5" hidden="1">'TOP 10 RATING BY DISCOUNT '!$A$1:$J$116</definedName>
    <definedName name="_xlnm._FilterDatabase" localSheetId="4" hidden="1">'TOP 5 LOWEST RANKING'!$A$1:$J$113</definedName>
    <definedName name="_xlnm._FilterDatabase" localSheetId="8" hidden="1">'TOP 5 LOWEST RATED PRODUCTS'!$A$1:$U$116</definedName>
    <definedName name="_xlchart.v1.0" hidden="1">'TREND ANALYSIS'!$E$2:$E$115</definedName>
    <definedName name="_xlchart.v1.1" hidden="1">'TREND ANALYSIS'!$G$1</definedName>
    <definedName name="_xlchart.v1.2" hidden="1">'TREND ANALYSIS'!$G$2:$G$115</definedName>
    <definedName name="_xlchart.v1.3" hidden="1">'TREND ANALYSIS'!$B$1</definedName>
    <definedName name="_xlchart.v1.4" hidden="1">'TREND ANALYSIS'!$B$2:$B$115</definedName>
    <definedName name="_xlchart.v1.5" hidden="1">'TREND ANALYSIS'!$H$1</definedName>
    <definedName name="_xlchart.v1.6" hidden="1">'TREND ANALYSIS'!$H$2:$H$115</definedName>
    <definedName name="Slicer_Discount_category">#N/A</definedName>
    <definedName name="Slicer_Price_Category">#N/A</definedName>
    <definedName name="Slicer_Rating_Category">#N/A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14" i="12" l="1"/>
  <c r="I114" i="12"/>
  <c r="F114" i="12"/>
  <c r="D114" i="12"/>
  <c r="J113" i="12"/>
  <c r="I113" i="12"/>
  <c r="F113" i="12"/>
  <c r="D113" i="12"/>
  <c r="J112" i="12"/>
  <c r="I112" i="12"/>
  <c r="F112" i="12"/>
  <c r="D112" i="12"/>
  <c r="J111" i="12"/>
  <c r="I111" i="12"/>
  <c r="F111" i="12"/>
  <c r="D111" i="12"/>
  <c r="J110" i="12"/>
  <c r="I110" i="12"/>
  <c r="F110" i="12"/>
  <c r="D110" i="12"/>
  <c r="J109" i="12"/>
  <c r="I109" i="12"/>
  <c r="F109" i="12"/>
  <c r="D109" i="12"/>
  <c r="J108" i="12"/>
  <c r="I108" i="12"/>
  <c r="F108" i="12"/>
  <c r="D108" i="12"/>
  <c r="J107" i="12"/>
  <c r="I107" i="12"/>
  <c r="F107" i="12"/>
  <c r="D107" i="12"/>
  <c r="J106" i="12"/>
  <c r="I106" i="12"/>
  <c r="F106" i="12"/>
  <c r="D106" i="12"/>
  <c r="J105" i="12"/>
  <c r="I105" i="12"/>
  <c r="F105" i="12"/>
  <c r="D105" i="12"/>
  <c r="J104" i="12"/>
  <c r="I104" i="12"/>
  <c r="F104" i="12"/>
  <c r="D104" i="12"/>
  <c r="J103" i="12"/>
  <c r="I103" i="12"/>
  <c r="F103" i="12"/>
  <c r="D103" i="12"/>
  <c r="J102" i="12"/>
  <c r="I102" i="12"/>
  <c r="F102" i="12"/>
  <c r="D102" i="12"/>
  <c r="J101" i="12"/>
  <c r="I101" i="12"/>
  <c r="F101" i="12"/>
  <c r="D101" i="12"/>
  <c r="J100" i="12"/>
  <c r="I100" i="12"/>
  <c r="F100" i="12"/>
  <c r="D100" i="12"/>
  <c r="J99" i="12"/>
  <c r="I99" i="12"/>
  <c r="F99" i="12"/>
  <c r="D99" i="12"/>
  <c r="J98" i="12"/>
  <c r="I98" i="12"/>
  <c r="F98" i="12"/>
  <c r="D98" i="12"/>
  <c r="J97" i="12"/>
  <c r="I97" i="12"/>
  <c r="F97" i="12"/>
  <c r="D97" i="12"/>
  <c r="J96" i="12"/>
  <c r="I96" i="12"/>
  <c r="F96" i="12"/>
  <c r="D96" i="12"/>
  <c r="J95" i="12"/>
  <c r="I95" i="12"/>
  <c r="F95" i="12"/>
  <c r="D95" i="12"/>
  <c r="J94" i="12"/>
  <c r="I94" i="12"/>
  <c r="F94" i="12"/>
  <c r="D94" i="12"/>
  <c r="J93" i="12"/>
  <c r="I93" i="12"/>
  <c r="F93" i="12"/>
  <c r="D93" i="12"/>
  <c r="J92" i="12"/>
  <c r="I92" i="12"/>
  <c r="F92" i="12"/>
  <c r="D92" i="12"/>
  <c r="J91" i="12"/>
  <c r="I91" i="12"/>
  <c r="F91" i="12"/>
  <c r="D91" i="12"/>
  <c r="J90" i="12"/>
  <c r="I90" i="12"/>
  <c r="F90" i="12"/>
  <c r="D90" i="12"/>
  <c r="J89" i="12"/>
  <c r="I89" i="12"/>
  <c r="F89" i="12"/>
  <c r="D89" i="12"/>
  <c r="J88" i="12"/>
  <c r="I88" i="12"/>
  <c r="F88" i="12"/>
  <c r="D88" i="12"/>
  <c r="J87" i="12"/>
  <c r="I87" i="12"/>
  <c r="F87" i="12"/>
  <c r="D87" i="12"/>
  <c r="J86" i="12"/>
  <c r="I86" i="12"/>
  <c r="F86" i="12"/>
  <c r="D86" i="12"/>
  <c r="J85" i="12"/>
  <c r="I85" i="12"/>
  <c r="F85" i="12"/>
  <c r="D85" i="12"/>
  <c r="J84" i="12"/>
  <c r="I84" i="12"/>
  <c r="F84" i="12"/>
  <c r="D84" i="12"/>
  <c r="J83" i="12"/>
  <c r="I83" i="12"/>
  <c r="F83" i="12"/>
  <c r="D83" i="12"/>
  <c r="J82" i="12"/>
  <c r="I82" i="12"/>
  <c r="F82" i="12"/>
  <c r="D82" i="12"/>
  <c r="J81" i="12"/>
  <c r="I81" i="12"/>
  <c r="F81" i="12"/>
  <c r="D81" i="12"/>
  <c r="J80" i="12"/>
  <c r="I80" i="12"/>
  <c r="F80" i="12"/>
  <c r="D80" i="12"/>
  <c r="J79" i="12"/>
  <c r="I79" i="12"/>
  <c r="F79" i="12"/>
  <c r="D79" i="12"/>
  <c r="J78" i="12"/>
  <c r="I78" i="12"/>
  <c r="F78" i="12"/>
  <c r="D78" i="12"/>
  <c r="J77" i="12"/>
  <c r="I77" i="12"/>
  <c r="F77" i="12"/>
  <c r="D77" i="12"/>
  <c r="J76" i="12"/>
  <c r="I76" i="12"/>
  <c r="F76" i="12"/>
  <c r="D76" i="12"/>
  <c r="J75" i="12"/>
  <c r="I75" i="12"/>
  <c r="F75" i="12"/>
  <c r="D75" i="12"/>
  <c r="J74" i="12"/>
  <c r="I74" i="12"/>
  <c r="F74" i="12"/>
  <c r="D74" i="12"/>
  <c r="J73" i="12"/>
  <c r="I73" i="12"/>
  <c r="F73" i="12"/>
  <c r="D73" i="12"/>
  <c r="J72" i="12"/>
  <c r="I72" i="12"/>
  <c r="F72" i="12"/>
  <c r="D72" i="12"/>
  <c r="J71" i="12"/>
  <c r="I71" i="12"/>
  <c r="F71" i="12"/>
  <c r="D71" i="12"/>
  <c r="J70" i="12"/>
  <c r="I70" i="12"/>
  <c r="F70" i="12"/>
  <c r="D70" i="12"/>
  <c r="J69" i="12"/>
  <c r="I69" i="12"/>
  <c r="F69" i="12"/>
  <c r="D69" i="12"/>
  <c r="J68" i="12"/>
  <c r="I68" i="12"/>
  <c r="F68" i="12"/>
  <c r="D68" i="12"/>
  <c r="J67" i="12"/>
  <c r="I67" i="12"/>
  <c r="F67" i="12"/>
  <c r="D67" i="12"/>
  <c r="J66" i="12"/>
  <c r="I66" i="12"/>
  <c r="F66" i="12"/>
  <c r="D66" i="12"/>
  <c r="J65" i="12"/>
  <c r="I65" i="12"/>
  <c r="F65" i="12"/>
  <c r="D65" i="12"/>
  <c r="J64" i="12"/>
  <c r="I64" i="12"/>
  <c r="F64" i="12"/>
  <c r="D64" i="12"/>
  <c r="J63" i="12"/>
  <c r="I63" i="12"/>
  <c r="F63" i="12"/>
  <c r="D63" i="12"/>
  <c r="J62" i="12"/>
  <c r="I62" i="12"/>
  <c r="F62" i="12"/>
  <c r="D62" i="12"/>
  <c r="J61" i="12"/>
  <c r="I61" i="12"/>
  <c r="F61" i="12"/>
  <c r="D61" i="12"/>
  <c r="J60" i="12"/>
  <c r="I60" i="12"/>
  <c r="F60" i="12"/>
  <c r="D60" i="12"/>
  <c r="J59" i="12"/>
  <c r="I59" i="12"/>
  <c r="F59" i="12"/>
  <c r="D59" i="12"/>
  <c r="J58" i="12"/>
  <c r="I58" i="12"/>
  <c r="F58" i="12"/>
  <c r="D58" i="12"/>
  <c r="J57" i="12"/>
  <c r="I57" i="12"/>
  <c r="F57" i="12"/>
  <c r="D57" i="12"/>
  <c r="J56" i="12"/>
  <c r="I56" i="12"/>
  <c r="F56" i="12"/>
  <c r="D56" i="12"/>
  <c r="J55" i="12"/>
  <c r="I55" i="12"/>
  <c r="F55" i="12"/>
  <c r="D55" i="12"/>
  <c r="J54" i="12"/>
  <c r="I54" i="12"/>
  <c r="F54" i="12"/>
  <c r="D54" i="12"/>
  <c r="J53" i="12"/>
  <c r="I53" i="12"/>
  <c r="F53" i="12"/>
  <c r="D53" i="12"/>
  <c r="J52" i="12"/>
  <c r="I52" i="12"/>
  <c r="F52" i="12"/>
  <c r="D52" i="12"/>
  <c r="J51" i="12"/>
  <c r="I51" i="12"/>
  <c r="F51" i="12"/>
  <c r="D51" i="12"/>
  <c r="J50" i="12"/>
  <c r="I50" i="12"/>
  <c r="F50" i="12"/>
  <c r="D50" i="12"/>
  <c r="J49" i="12"/>
  <c r="I49" i="12"/>
  <c r="F49" i="12"/>
  <c r="D49" i="12"/>
  <c r="J48" i="12"/>
  <c r="I48" i="12"/>
  <c r="F48" i="12"/>
  <c r="D48" i="12"/>
  <c r="J47" i="12"/>
  <c r="I47" i="12"/>
  <c r="F47" i="12"/>
  <c r="D47" i="12"/>
  <c r="J46" i="12"/>
  <c r="I46" i="12"/>
  <c r="F46" i="12"/>
  <c r="D46" i="12"/>
  <c r="J45" i="12"/>
  <c r="I45" i="12"/>
  <c r="F45" i="12"/>
  <c r="D45" i="12"/>
  <c r="J44" i="12"/>
  <c r="I44" i="12"/>
  <c r="F44" i="12"/>
  <c r="D44" i="12"/>
  <c r="J43" i="12"/>
  <c r="I43" i="12"/>
  <c r="F43" i="12"/>
  <c r="D43" i="12"/>
  <c r="J42" i="12"/>
  <c r="I42" i="12"/>
  <c r="F42" i="12"/>
  <c r="D42" i="12"/>
  <c r="J41" i="12"/>
  <c r="I41" i="12"/>
  <c r="F41" i="12"/>
  <c r="D41" i="12"/>
  <c r="J40" i="12"/>
  <c r="I40" i="12"/>
  <c r="F40" i="12"/>
  <c r="D40" i="12"/>
  <c r="J39" i="12"/>
  <c r="I39" i="12"/>
  <c r="F39" i="12"/>
  <c r="D39" i="12"/>
  <c r="J38" i="12"/>
  <c r="I38" i="12"/>
  <c r="F38" i="12"/>
  <c r="D38" i="12"/>
  <c r="J37" i="12"/>
  <c r="I37" i="12"/>
  <c r="F37" i="12"/>
  <c r="D37" i="12"/>
  <c r="J36" i="12"/>
  <c r="I36" i="12"/>
  <c r="F36" i="12"/>
  <c r="D36" i="12"/>
  <c r="J35" i="12"/>
  <c r="I35" i="12"/>
  <c r="F35" i="12"/>
  <c r="D35" i="12"/>
  <c r="J34" i="12"/>
  <c r="I34" i="12"/>
  <c r="F34" i="12"/>
  <c r="D34" i="12"/>
  <c r="J33" i="12"/>
  <c r="I33" i="12"/>
  <c r="F33" i="12"/>
  <c r="D33" i="12"/>
  <c r="J32" i="12"/>
  <c r="I32" i="12"/>
  <c r="F32" i="12"/>
  <c r="D32" i="12"/>
  <c r="J31" i="12"/>
  <c r="I31" i="12"/>
  <c r="F31" i="12"/>
  <c r="D31" i="12"/>
  <c r="J30" i="12"/>
  <c r="I30" i="12"/>
  <c r="F30" i="12"/>
  <c r="D30" i="12"/>
  <c r="J29" i="12"/>
  <c r="I29" i="12"/>
  <c r="F29" i="12"/>
  <c r="D29" i="12"/>
  <c r="J28" i="12"/>
  <c r="I28" i="12"/>
  <c r="F28" i="12"/>
  <c r="D28" i="12"/>
  <c r="J27" i="12"/>
  <c r="I27" i="12"/>
  <c r="F27" i="12"/>
  <c r="D27" i="12"/>
  <c r="J26" i="12"/>
  <c r="I26" i="12"/>
  <c r="F26" i="12"/>
  <c r="D26" i="12"/>
  <c r="J25" i="12"/>
  <c r="I25" i="12"/>
  <c r="F25" i="12"/>
  <c r="D25" i="12"/>
  <c r="J24" i="12"/>
  <c r="I24" i="12"/>
  <c r="F24" i="12"/>
  <c r="D24" i="12"/>
  <c r="J23" i="12"/>
  <c r="I23" i="12"/>
  <c r="F23" i="12"/>
  <c r="D23" i="12"/>
  <c r="J22" i="12"/>
  <c r="I22" i="12"/>
  <c r="F22" i="12"/>
  <c r="D22" i="12"/>
  <c r="J21" i="12"/>
  <c r="I21" i="12"/>
  <c r="F21" i="12"/>
  <c r="D21" i="12"/>
  <c r="J20" i="12"/>
  <c r="I20" i="12"/>
  <c r="F20" i="12"/>
  <c r="D20" i="12"/>
  <c r="J19" i="12"/>
  <c r="I19" i="12"/>
  <c r="F19" i="12"/>
  <c r="D19" i="12"/>
  <c r="J18" i="12"/>
  <c r="I18" i="12"/>
  <c r="F18" i="12"/>
  <c r="D18" i="12"/>
  <c r="J17" i="12"/>
  <c r="I17" i="12"/>
  <c r="F17" i="12"/>
  <c r="D17" i="12"/>
  <c r="J16" i="12"/>
  <c r="I16" i="12"/>
  <c r="F16" i="12"/>
  <c r="D16" i="12"/>
  <c r="J15" i="12"/>
  <c r="I15" i="12"/>
  <c r="F15" i="12"/>
  <c r="D15" i="12"/>
  <c r="J14" i="12"/>
  <c r="I14" i="12"/>
  <c r="F14" i="12"/>
  <c r="D14" i="12"/>
  <c r="J13" i="12"/>
  <c r="I13" i="12"/>
  <c r="F13" i="12"/>
  <c r="D13" i="12"/>
  <c r="J12" i="12"/>
  <c r="I12" i="12"/>
  <c r="F12" i="12"/>
  <c r="D12" i="12"/>
  <c r="J11" i="12"/>
  <c r="I11" i="12"/>
  <c r="F11" i="12"/>
  <c r="D11" i="12"/>
  <c r="J10" i="12"/>
  <c r="I10" i="12"/>
  <c r="F10" i="12"/>
  <c r="D10" i="12"/>
  <c r="J9" i="12"/>
  <c r="I9" i="12"/>
  <c r="F9" i="12"/>
  <c r="D9" i="12"/>
  <c r="J8" i="12"/>
  <c r="I8" i="12"/>
  <c r="F8" i="12"/>
  <c r="D8" i="12"/>
  <c r="J7" i="12"/>
  <c r="I7" i="12"/>
  <c r="F7" i="12"/>
  <c r="D7" i="12"/>
  <c r="J6" i="12"/>
  <c r="I6" i="12"/>
  <c r="F6" i="12"/>
  <c r="D6" i="12"/>
  <c r="J5" i="12"/>
  <c r="I5" i="12"/>
  <c r="F5" i="12"/>
  <c r="D5" i="12"/>
  <c r="J4" i="12"/>
  <c r="I4" i="12"/>
  <c r="F4" i="12"/>
  <c r="D4" i="12"/>
  <c r="J3" i="12"/>
  <c r="I3" i="12"/>
  <c r="F3" i="12"/>
  <c r="D3" i="12"/>
  <c r="J2" i="12"/>
  <c r="I2" i="12"/>
  <c r="F2" i="12"/>
  <c r="D2" i="12"/>
  <c r="J99" i="11"/>
  <c r="I99" i="11"/>
  <c r="F99" i="11"/>
  <c r="D99" i="11"/>
  <c r="J68" i="11"/>
  <c r="I68" i="11"/>
  <c r="F68" i="11"/>
  <c r="D68" i="11"/>
  <c r="J75" i="11"/>
  <c r="I75" i="11"/>
  <c r="F75" i="11"/>
  <c r="D75" i="11"/>
  <c r="J113" i="11"/>
  <c r="I113" i="11"/>
  <c r="F113" i="11"/>
  <c r="D113" i="11"/>
  <c r="J107" i="11"/>
  <c r="I107" i="11"/>
  <c r="F107" i="11"/>
  <c r="D107" i="11"/>
  <c r="J48" i="11"/>
  <c r="I48" i="11"/>
  <c r="F48" i="11"/>
  <c r="D48" i="11"/>
  <c r="J52" i="11"/>
  <c r="I52" i="11"/>
  <c r="F52" i="11"/>
  <c r="D52" i="11"/>
  <c r="J105" i="11"/>
  <c r="I105" i="11"/>
  <c r="F105" i="11"/>
  <c r="D105" i="11"/>
  <c r="J114" i="11"/>
  <c r="I114" i="11"/>
  <c r="F114" i="11"/>
  <c r="D114" i="11"/>
  <c r="J21" i="11"/>
  <c r="I21" i="11"/>
  <c r="F21" i="11"/>
  <c r="D21" i="11"/>
  <c r="J23" i="11"/>
  <c r="I23" i="11"/>
  <c r="F23" i="11"/>
  <c r="D23" i="11"/>
  <c r="J33" i="11"/>
  <c r="I33" i="11"/>
  <c r="F33" i="11"/>
  <c r="D33" i="11"/>
  <c r="J60" i="11"/>
  <c r="I60" i="11"/>
  <c r="F60" i="11"/>
  <c r="D60" i="11"/>
  <c r="J98" i="11"/>
  <c r="I98" i="11"/>
  <c r="F98" i="11"/>
  <c r="D98" i="11"/>
  <c r="J88" i="11"/>
  <c r="I88" i="11"/>
  <c r="F88" i="11"/>
  <c r="D88" i="11"/>
  <c r="J111" i="11"/>
  <c r="I111" i="11"/>
  <c r="F111" i="11"/>
  <c r="D111" i="11"/>
  <c r="J100" i="11"/>
  <c r="I100" i="11"/>
  <c r="F100" i="11"/>
  <c r="D100" i="11"/>
  <c r="J15" i="11"/>
  <c r="I15" i="11"/>
  <c r="F15" i="11"/>
  <c r="D15" i="11"/>
  <c r="J32" i="11"/>
  <c r="I32" i="11"/>
  <c r="F32" i="11"/>
  <c r="D32" i="11"/>
  <c r="J102" i="11"/>
  <c r="I102" i="11"/>
  <c r="F102" i="11"/>
  <c r="D102" i="11"/>
  <c r="J14" i="11"/>
  <c r="I14" i="11"/>
  <c r="F14" i="11"/>
  <c r="D14" i="11"/>
  <c r="J27" i="11"/>
  <c r="I27" i="11"/>
  <c r="F27" i="11"/>
  <c r="D27" i="11"/>
  <c r="J66" i="11"/>
  <c r="I66" i="11"/>
  <c r="F66" i="11"/>
  <c r="D66" i="11"/>
  <c r="J90" i="11"/>
  <c r="I90" i="11"/>
  <c r="F90" i="11"/>
  <c r="D90" i="11"/>
  <c r="J47" i="11"/>
  <c r="I47" i="11"/>
  <c r="F47" i="11"/>
  <c r="D47" i="11"/>
  <c r="J101" i="11"/>
  <c r="I101" i="11"/>
  <c r="F101" i="11"/>
  <c r="D101" i="11"/>
  <c r="J85" i="11"/>
  <c r="I85" i="11"/>
  <c r="F85" i="11"/>
  <c r="D85" i="11"/>
  <c r="J89" i="11"/>
  <c r="I89" i="11"/>
  <c r="F89" i="11"/>
  <c r="D89" i="11"/>
  <c r="J96" i="11"/>
  <c r="I96" i="11"/>
  <c r="F96" i="11"/>
  <c r="D96" i="11"/>
  <c r="J80" i="11"/>
  <c r="I80" i="11"/>
  <c r="F80" i="11"/>
  <c r="D80" i="11"/>
  <c r="J112" i="11"/>
  <c r="I112" i="11"/>
  <c r="F112" i="11"/>
  <c r="D112" i="11"/>
  <c r="J29" i="11"/>
  <c r="I29" i="11"/>
  <c r="F29" i="11"/>
  <c r="D29" i="11"/>
  <c r="J24" i="11"/>
  <c r="I24" i="11"/>
  <c r="F24" i="11"/>
  <c r="D24" i="11"/>
  <c r="J18" i="11"/>
  <c r="I18" i="11"/>
  <c r="F18" i="11"/>
  <c r="D18" i="11"/>
  <c r="J92" i="11"/>
  <c r="I92" i="11"/>
  <c r="F92" i="11"/>
  <c r="D92" i="11"/>
  <c r="J104" i="11"/>
  <c r="I104" i="11"/>
  <c r="F104" i="11"/>
  <c r="D104" i="11"/>
  <c r="J59" i="11"/>
  <c r="I59" i="11"/>
  <c r="F59" i="11"/>
  <c r="D59" i="11"/>
  <c r="J42" i="11"/>
  <c r="I42" i="11"/>
  <c r="F42" i="11"/>
  <c r="D42" i="11"/>
  <c r="J10" i="11"/>
  <c r="I10" i="11"/>
  <c r="F10" i="11"/>
  <c r="D10" i="11"/>
  <c r="J28" i="11"/>
  <c r="I28" i="11"/>
  <c r="F28" i="11"/>
  <c r="D28" i="11"/>
  <c r="J72" i="11"/>
  <c r="I72" i="11"/>
  <c r="F72" i="11"/>
  <c r="D72" i="11"/>
  <c r="J86" i="11"/>
  <c r="I86" i="11"/>
  <c r="F86" i="11"/>
  <c r="D86" i="11"/>
  <c r="J25" i="11"/>
  <c r="I25" i="11"/>
  <c r="F25" i="11"/>
  <c r="D25" i="11"/>
  <c r="J79" i="11"/>
  <c r="I79" i="11"/>
  <c r="F79" i="11"/>
  <c r="D79" i="11"/>
  <c r="J4" i="11"/>
  <c r="I4" i="11"/>
  <c r="F4" i="11"/>
  <c r="D4" i="11"/>
  <c r="J20" i="11"/>
  <c r="I20" i="11"/>
  <c r="F20" i="11"/>
  <c r="D20" i="11"/>
  <c r="J30" i="11"/>
  <c r="I30" i="11"/>
  <c r="F30" i="11"/>
  <c r="D30" i="11"/>
  <c r="J77" i="11"/>
  <c r="I77" i="11"/>
  <c r="F77" i="11"/>
  <c r="D77" i="11"/>
  <c r="J74" i="11"/>
  <c r="I74" i="11"/>
  <c r="F74" i="11"/>
  <c r="D74" i="11"/>
  <c r="J70" i="11"/>
  <c r="I70" i="11"/>
  <c r="F70" i="11"/>
  <c r="D70" i="11"/>
  <c r="J2" i="11"/>
  <c r="I2" i="11"/>
  <c r="F2" i="11"/>
  <c r="D2" i="11"/>
  <c r="J56" i="11"/>
  <c r="I56" i="11"/>
  <c r="F56" i="11"/>
  <c r="D56" i="11"/>
  <c r="J78" i="11"/>
  <c r="I78" i="11"/>
  <c r="F78" i="11"/>
  <c r="D78" i="11"/>
  <c r="J62" i="11"/>
  <c r="I62" i="11"/>
  <c r="F62" i="11"/>
  <c r="D62" i="11"/>
  <c r="J17" i="11"/>
  <c r="I17" i="11"/>
  <c r="F17" i="11"/>
  <c r="D17" i="11"/>
  <c r="J34" i="11"/>
  <c r="I34" i="11"/>
  <c r="F34" i="11"/>
  <c r="D34" i="11"/>
  <c r="J44" i="11"/>
  <c r="I44" i="11"/>
  <c r="F44" i="11"/>
  <c r="D44" i="11"/>
  <c r="J71" i="11"/>
  <c r="I71" i="11"/>
  <c r="F71" i="11"/>
  <c r="D71" i="11"/>
  <c r="J55" i="11"/>
  <c r="I55" i="11"/>
  <c r="F55" i="11"/>
  <c r="D55" i="11"/>
  <c r="J108" i="11"/>
  <c r="I108" i="11"/>
  <c r="F108" i="11"/>
  <c r="D108" i="11"/>
  <c r="J103" i="11"/>
  <c r="I103" i="11"/>
  <c r="F103" i="11"/>
  <c r="D103" i="11"/>
  <c r="J109" i="11"/>
  <c r="I109" i="11"/>
  <c r="F109" i="11"/>
  <c r="D109" i="11"/>
  <c r="J82" i="11"/>
  <c r="I82" i="11"/>
  <c r="F82" i="11"/>
  <c r="D82" i="11"/>
  <c r="J81" i="11"/>
  <c r="I81" i="11"/>
  <c r="F81" i="11"/>
  <c r="D81" i="11"/>
  <c r="J35" i="11"/>
  <c r="I35" i="11"/>
  <c r="F35" i="11"/>
  <c r="D35" i="11"/>
  <c r="J43" i="11"/>
  <c r="I43" i="11"/>
  <c r="F43" i="11"/>
  <c r="D43" i="11"/>
  <c r="J50" i="11"/>
  <c r="I50" i="11"/>
  <c r="F50" i="11"/>
  <c r="D50" i="11"/>
  <c r="J19" i="11"/>
  <c r="I19" i="11"/>
  <c r="F19" i="11"/>
  <c r="D19" i="11"/>
  <c r="J110" i="11"/>
  <c r="I110" i="11"/>
  <c r="F110" i="11"/>
  <c r="D110" i="11"/>
  <c r="J69" i="11"/>
  <c r="I69" i="11"/>
  <c r="F69" i="11"/>
  <c r="D69" i="11"/>
  <c r="J87" i="11"/>
  <c r="I87" i="11"/>
  <c r="F87" i="11"/>
  <c r="D87" i="11"/>
  <c r="J67" i="11"/>
  <c r="I67" i="11"/>
  <c r="F67" i="11"/>
  <c r="D67" i="11"/>
  <c r="J7" i="11"/>
  <c r="I7" i="11"/>
  <c r="F7" i="11"/>
  <c r="D7" i="11"/>
  <c r="J13" i="11"/>
  <c r="I13" i="11"/>
  <c r="F13" i="11"/>
  <c r="D13" i="11"/>
  <c r="J53" i="11"/>
  <c r="I53" i="11"/>
  <c r="F53" i="11"/>
  <c r="D53" i="11"/>
  <c r="J84" i="11"/>
  <c r="I84" i="11"/>
  <c r="F84" i="11"/>
  <c r="D84" i="11"/>
  <c r="J95" i="11"/>
  <c r="I95" i="11"/>
  <c r="F95" i="11"/>
  <c r="D95" i="11"/>
  <c r="J16" i="11"/>
  <c r="I16" i="11"/>
  <c r="F16" i="11"/>
  <c r="D16" i="11"/>
  <c r="J38" i="11"/>
  <c r="I38" i="11"/>
  <c r="F38" i="11"/>
  <c r="D38" i="11"/>
  <c r="J40" i="11"/>
  <c r="I40" i="11"/>
  <c r="F40" i="11"/>
  <c r="D40" i="11"/>
  <c r="J8" i="11"/>
  <c r="I8" i="11"/>
  <c r="F8" i="11"/>
  <c r="D8" i="11"/>
  <c r="J58" i="11"/>
  <c r="I58" i="11"/>
  <c r="F58" i="11"/>
  <c r="D58" i="11"/>
  <c r="J94" i="11"/>
  <c r="I94" i="11"/>
  <c r="F94" i="11"/>
  <c r="D94" i="11"/>
  <c r="J6" i="11"/>
  <c r="I6" i="11"/>
  <c r="F6" i="11"/>
  <c r="D6" i="11"/>
  <c r="J36" i="11"/>
  <c r="I36" i="11"/>
  <c r="F36" i="11"/>
  <c r="D36" i="11"/>
  <c r="J46" i="11"/>
  <c r="I46" i="11"/>
  <c r="F46" i="11"/>
  <c r="D46" i="11"/>
  <c r="J45" i="11"/>
  <c r="I45" i="11"/>
  <c r="F45" i="11"/>
  <c r="D45" i="11"/>
  <c r="J91" i="11"/>
  <c r="I91" i="11"/>
  <c r="F91" i="11"/>
  <c r="D91" i="11"/>
  <c r="J3" i="11"/>
  <c r="I3" i="11"/>
  <c r="F3" i="11"/>
  <c r="D3" i="11"/>
  <c r="J61" i="11"/>
  <c r="I61" i="11"/>
  <c r="F61" i="11"/>
  <c r="D61" i="11"/>
  <c r="J65" i="11"/>
  <c r="I65" i="11"/>
  <c r="F65" i="11"/>
  <c r="D65" i="11"/>
  <c r="J11" i="11"/>
  <c r="I11" i="11"/>
  <c r="F11" i="11"/>
  <c r="D11" i="11"/>
  <c r="J106" i="11"/>
  <c r="I106" i="11"/>
  <c r="F106" i="11"/>
  <c r="D106" i="11"/>
  <c r="J22" i="11"/>
  <c r="I22" i="11"/>
  <c r="F22" i="11"/>
  <c r="D22" i="11"/>
  <c r="J41" i="11"/>
  <c r="I41" i="11"/>
  <c r="F41" i="11"/>
  <c r="D41" i="11"/>
  <c r="J5" i="11"/>
  <c r="I5" i="11"/>
  <c r="F5" i="11"/>
  <c r="D5" i="11"/>
  <c r="J97" i="11"/>
  <c r="I97" i="11"/>
  <c r="F97" i="11"/>
  <c r="D97" i="11"/>
  <c r="J76" i="11"/>
  <c r="I76" i="11"/>
  <c r="F76" i="11"/>
  <c r="D76" i="11"/>
  <c r="J31" i="11"/>
  <c r="I31" i="11"/>
  <c r="F31" i="11"/>
  <c r="D31" i="11"/>
  <c r="J73" i="11"/>
  <c r="I73" i="11"/>
  <c r="F73" i="11"/>
  <c r="D73" i="11"/>
  <c r="J63" i="11"/>
  <c r="I63" i="11"/>
  <c r="F63" i="11"/>
  <c r="D63" i="11"/>
  <c r="J57" i="11"/>
  <c r="I57" i="11"/>
  <c r="F57" i="11"/>
  <c r="D57" i="11"/>
  <c r="J93" i="11"/>
  <c r="I93" i="11"/>
  <c r="F93" i="11"/>
  <c r="D93" i="11"/>
  <c r="J12" i="11"/>
  <c r="I12" i="11"/>
  <c r="F12" i="11"/>
  <c r="D12" i="11"/>
  <c r="J9" i="11"/>
  <c r="I9" i="11"/>
  <c r="F9" i="11"/>
  <c r="D9" i="11"/>
  <c r="J51" i="11"/>
  <c r="I51" i="11"/>
  <c r="F51" i="11"/>
  <c r="D51" i="11"/>
  <c r="J39" i="11"/>
  <c r="I39" i="11"/>
  <c r="F39" i="11"/>
  <c r="D39" i="11"/>
  <c r="J83" i="11"/>
  <c r="I83" i="11"/>
  <c r="F83" i="11"/>
  <c r="D83" i="11"/>
  <c r="J49" i="11"/>
  <c r="I49" i="11"/>
  <c r="F49" i="11"/>
  <c r="D49" i="11"/>
  <c r="J26" i="11"/>
  <c r="I26" i="11"/>
  <c r="F26" i="11"/>
  <c r="D26" i="11"/>
  <c r="J37" i="11"/>
  <c r="I37" i="11"/>
  <c r="F37" i="11"/>
  <c r="D37" i="11"/>
  <c r="J64" i="11"/>
  <c r="I64" i="11"/>
  <c r="F64" i="11"/>
  <c r="D64" i="11"/>
  <c r="J54" i="11"/>
  <c r="I54" i="11"/>
  <c r="F54" i="11"/>
  <c r="D54" i="11"/>
  <c r="J68" i="10"/>
  <c r="I68" i="10"/>
  <c r="F68" i="10"/>
  <c r="D68" i="10"/>
  <c r="J2" i="10"/>
  <c r="I2" i="10"/>
  <c r="F2" i="10"/>
  <c r="D2" i="10"/>
  <c r="J83" i="10"/>
  <c r="I83" i="10"/>
  <c r="F83" i="10"/>
  <c r="D83" i="10"/>
  <c r="J10" i="10"/>
  <c r="I10" i="10"/>
  <c r="F10" i="10"/>
  <c r="D10" i="10"/>
  <c r="J13" i="10"/>
  <c r="I13" i="10"/>
  <c r="F13" i="10"/>
  <c r="D13" i="10"/>
  <c r="J64" i="10"/>
  <c r="I64" i="10"/>
  <c r="F64" i="10"/>
  <c r="D64" i="10"/>
  <c r="J37" i="10"/>
  <c r="I37" i="10"/>
  <c r="F37" i="10"/>
  <c r="D37" i="10"/>
  <c r="J105" i="10"/>
  <c r="I105" i="10"/>
  <c r="F105" i="10"/>
  <c r="D105" i="10"/>
  <c r="J102" i="10"/>
  <c r="I102" i="10"/>
  <c r="F102" i="10"/>
  <c r="D102" i="10"/>
  <c r="J77" i="10"/>
  <c r="I77" i="10"/>
  <c r="F77" i="10"/>
  <c r="D77" i="10"/>
  <c r="J110" i="10"/>
  <c r="I110" i="10"/>
  <c r="F110" i="10"/>
  <c r="D110" i="10"/>
  <c r="J78" i="10"/>
  <c r="I78" i="10"/>
  <c r="F78" i="10"/>
  <c r="D78" i="10"/>
  <c r="J71" i="10"/>
  <c r="I71" i="10"/>
  <c r="F71" i="10"/>
  <c r="D71" i="10"/>
  <c r="J33" i="10"/>
  <c r="I33" i="10"/>
  <c r="F33" i="10"/>
  <c r="D33" i="10"/>
  <c r="J93" i="10"/>
  <c r="I93" i="10"/>
  <c r="F93" i="10"/>
  <c r="D93" i="10"/>
  <c r="J19" i="10"/>
  <c r="I19" i="10"/>
  <c r="F19" i="10"/>
  <c r="D19" i="10"/>
  <c r="J7" i="10"/>
  <c r="I7" i="10"/>
  <c r="F7" i="10"/>
  <c r="D7" i="10"/>
  <c r="J101" i="10"/>
  <c r="I101" i="10"/>
  <c r="F101" i="10"/>
  <c r="D101" i="10"/>
  <c r="J82" i="10"/>
  <c r="I82" i="10"/>
  <c r="F82" i="10"/>
  <c r="D82" i="10"/>
  <c r="J15" i="10"/>
  <c r="I15" i="10"/>
  <c r="F15" i="10"/>
  <c r="D15" i="10"/>
  <c r="J17" i="10"/>
  <c r="I17" i="10"/>
  <c r="F17" i="10"/>
  <c r="D17" i="10"/>
  <c r="J8" i="10"/>
  <c r="I8" i="10"/>
  <c r="F8" i="10"/>
  <c r="D8" i="10"/>
  <c r="J30" i="10"/>
  <c r="I30" i="10"/>
  <c r="F30" i="10"/>
  <c r="D30" i="10"/>
  <c r="J5" i="10"/>
  <c r="I5" i="10"/>
  <c r="F5" i="10"/>
  <c r="D5" i="10"/>
  <c r="J75" i="10"/>
  <c r="I75" i="10"/>
  <c r="F75" i="10"/>
  <c r="D75" i="10"/>
  <c r="J25" i="10"/>
  <c r="I25" i="10"/>
  <c r="F25" i="10"/>
  <c r="D25" i="10"/>
  <c r="J65" i="10"/>
  <c r="I65" i="10"/>
  <c r="F65" i="10"/>
  <c r="D65" i="10"/>
  <c r="J26" i="10"/>
  <c r="I26" i="10"/>
  <c r="F26" i="10"/>
  <c r="D26" i="10"/>
  <c r="J60" i="10"/>
  <c r="I60" i="10"/>
  <c r="F60" i="10"/>
  <c r="D60" i="10"/>
  <c r="J46" i="10"/>
  <c r="I46" i="10"/>
  <c r="F46" i="10"/>
  <c r="D46" i="10"/>
  <c r="J104" i="10"/>
  <c r="I104" i="10"/>
  <c r="F104" i="10"/>
  <c r="D104" i="10"/>
  <c r="J85" i="10"/>
  <c r="I85" i="10"/>
  <c r="F85" i="10"/>
  <c r="D85" i="10"/>
  <c r="J113" i="10"/>
  <c r="I113" i="10"/>
  <c r="F113" i="10"/>
  <c r="D113" i="10"/>
  <c r="J36" i="10"/>
  <c r="I36" i="10"/>
  <c r="F36" i="10"/>
  <c r="D36" i="10"/>
  <c r="J80" i="10"/>
  <c r="I80" i="10"/>
  <c r="F80" i="10"/>
  <c r="D80" i="10"/>
  <c r="J58" i="10"/>
  <c r="I58" i="10"/>
  <c r="F58" i="10"/>
  <c r="D58" i="10"/>
  <c r="J95" i="10"/>
  <c r="I95" i="10"/>
  <c r="F95" i="10"/>
  <c r="D95" i="10"/>
  <c r="J99" i="10"/>
  <c r="I99" i="10"/>
  <c r="F99" i="10"/>
  <c r="D99" i="10"/>
  <c r="J3" i="10"/>
  <c r="I3" i="10"/>
  <c r="F3" i="10"/>
  <c r="D3" i="10"/>
  <c r="J9" i="10"/>
  <c r="I9" i="10"/>
  <c r="F9" i="10"/>
  <c r="D9" i="10"/>
  <c r="J34" i="10"/>
  <c r="I34" i="10"/>
  <c r="F34" i="10"/>
  <c r="D34" i="10"/>
  <c r="J16" i="10"/>
  <c r="I16" i="10"/>
  <c r="F16" i="10"/>
  <c r="D16" i="10"/>
  <c r="J38" i="10"/>
  <c r="I38" i="10"/>
  <c r="F38" i="10"/>
  <c r="D38" i="10"/>
  <c r="J21" i="10"/>
  <c r="I21" i="10"/>
  <c r="F21" i="10"/>
  <c r="D21" i="10"/>
  <c r="J39" i="10"/>
  <c r="I39" i="10"/>
  <c r="F39" i="10"/>
  <c r="D39" i="10"/>
  <c r="J18" i="10"/>
  <c r="I18" i="10"/>
  <c r="F18" i="10"/>
  <c r="D18" i="10"/>
  <c r="J6" i="10"/>
  <c r="I6" i="10"/>
  <c r="F6" i="10"/>
  <c r="D6" i="10"/>
  <c r="J31" i="10"/>
  <c r="I31" i="10"/>
  <c r="F31" i="10"/>
  <c r="D31" i="10"/>
  <c r="J24" i="10"/>
  <c r="I24" i="10"/>
  <c r="F24" i="10"/>
  <c r="D24" i="10"/>
  <c r="J27" i="10"/>
  <c r="I27" i="10"/>
  <c r="F27" i="10"/>
  <c r="D27" i="10"/>
  <c r="J4" i="10"/>
  <c r="I4" i="10"/>
  <c r="F4" i="10"/>
  <c r="D4" i="10"/>
  <c r="J35" i="10"/>
  <c r="I35" i="10"/>
  <c r="F35" i="10"/>
  <c r="D35" i="10"/>
  <c r="J20" i="10"/>
  <c r="I20" i="10"/>
  <c r="F20" i="10"/>
  <c r="D20" i="10"/>
  <c r="J12" i="10"/>
  <c r="I12" i="10"/>
  <c r="F12" i="10"/>
  <c r="D12" i="10"/>
  <c r="J108" i="10"/>
  <c r="I108" i="10"/>
  <c r="F108" i="10"/>
  <c r="D108" i="10"/>
  <c r="J74" i="10"/>
  <c r="I74" i="10"/>
  <c r="F74" i="10"/>
  <c r="D74" i="10"/>
  <c r="J62" i="10"/>
  <c r="I62" i="10"/>
  <c r="F62" i="10"/>
  <c r="D62" i="10"/>
  <c r="J11" i="10"/>
  <c r="I11" i="10"/>
  <c r="F11" i="10"/>
  <c r="D11" i="10"/>
  <c r="J57" i="10"/>
  <c r="I57" i="10"/>
  <c r="F57" i="10"/>
  <c r="D57" i="10"/>
  <c r="J28" i="10"/>
  <c r="I28" i="10"/>
  <c r="F28" i="10"/>
  <c r="D28" i="10"/>
  <c r="J22" i="10"/>
  <c r="I22" i="10"/>
  <c r="F22" i="10"/>
  <c r="D22" i="10"/>
  <c r="J23" i="10"/>
  <c r="I23" i="10"/>
  <c r="F23" i="10"/>
  <c r="D23" i="10"/>
  <c r="J67" i="10"/>
  <c r="I67" i="10"/>
  <c r="F67" i="10"/>
  <c r="D67" i="10"/>
  <c r="J59" i="10"/>
  <c r="I59" i="10"/>
  <c r="F59" i="10"/>
  <c r="D59" i="10"/>
  <c r="J100" i="10"/>
  <c r="I100" i="10"/>
  <c r="F100" i="10"/>
  <c r="D100" i="10"/>
  <c r="J66" i="10"/>
  <c r="I66" i="10"/>
  <c r="F66" i="10"/>
  <c r="D66" i="10"/>
  <c r="J81" i="10"/>
  <c r="I81" i="10"/>
  <c r="F81" i="10"/>
  <c r="D81" i="10"/>
  <c r="J63" i="10"/>
  <c r="I63" i="10"/>
  <c r="F63" i="10"/>
  <c r="D63" i="10"/>
  <c r="J14" i="10"/>
  <c r="I14" i="10"/>
  <c r="F14" i="10"/>
  <c r="D14" i="10"/>
  <c r="J70" i="10"/>
  <c r="I70" i="10"/>
  <c r="F70" i="10"/>
  <c r="D70" i="10"/>
  <c r="J32" i="10"/>
  <c r="I32" i="10"/>
  <c r="F32" i="10"/>
  <c r="D32" i="10"/>
  <c r="J91" i="10"/>
  <c r="I91" i="10"/>
  <c r="F91" i="10"/>
  <c r="D91" i="10"/>
  <c r="J40" i="10"/>
  <c r="I40" i="10"/>
  <c r="F40" i="10"/>
  <c r="D40" i="10"/>
  <c r="J49" i="10"/>
  <c r="I49" i="10"/>
  <c r="F49" i="10"/>
  <c r="D49" i="10"/>
  <c r="J79" i="10"/>
  <c r="I79" i="10"/>
  <c r="F79" i="10"/>
  <c r="D79" i="10"/>
  <c r="J54" i="10"/>
  <c r="I54" i="10"/>
  <c r="F54" i="10"/>
  <c r="D54" i="10"/>
  <c r="J112" i="10"/>
  <c r="I112" i="10"/>
  <c r="F112" i="10"/>
  <c r="D112" i="10"/>
  <c r="J111" i="10"/>
  <c r="I111" i="10"/>
  <c r="F111" i="10"/>
  <c r="D111" i="10"/>
  <c r="J73" i="10"/>
  <c r="I73" i="10"/>
  <c r="F73" i="10"/>
  <c r="D73" i="10"/>
  <c r="J94" i="10"/>
  <c r="I94" i="10"/>
  <c r="F94" i="10"/>
  <c r="D94" i="10"/>
  <c r="J55" i="10"/>
  <c r="I55" i="10"/>
  <c r="F55" i="10"/>
  <c r="D55" i="10"/>
  <c r="J96" i="10"/>
  <c r="I96" i="10"/>
  <c r="F96" i="10"/>
  <c r="D96" i="10"/>
  <c r="J61" i="10"/>
  <c r="I61" i="10"/>
  <c r="F61" i="10"/>
  <c r="D61" i="10"/>
  <c r="J29" i="10"/>
  <c r="I29" i="10"/>
  <c r="F29" i="10"/>
  <c r="D29" i="10"/>
  <c r="J52" i="10"/>
  <c r="I52" i="10"/>
  <c r="F52" i="10"/>
  <c r="D52" i="10"/>
  <c r="J44" i="10"/>
  <c r="I44" i="10"/>
  <c r="F44" i="10"/>
  <c r="D44" i="10"/>
  <c r="J42" i="10"/>
  <c r="I42" i="10"/>
  <c r="F42" i="10"/>
  <c r="D42" i="10"/>
  <c r="J87" i="10"/>
  <c r="I87" i="10"/>
  <c r="F87" i="10"/>
  <c r="D87" i="10"/>
  <c r="J56" i="10"/>
  <c r="I56" i="10"/>
  <c r="F56" i="10"/>
  <c r="D56" i="10"/>
  <c r="J69" i="10"/>
  <c r="I69" i="10"/>
  <c r="F69" i="10"/>
  <c r="D69" i="10"/>
  <c r="J45" i="10"/>
  <c r="I45" i="10"/>
  <c r="F45" i="10"/>
  <c r="D45" i="10"/>
  <c r="J90" i="10"/>
  <c r="I90" i="10"/>
  <c r="F90" i="10"/>
  <c r="D90" i="10"/>
  <c r="J41" i="10"/>
  <c r="I41" i="10"/>
  <c r="F41" i="10"/>
  <c r="D41" i="10"/>
  <c r="J88" i="10"/>
  <c r="I88" i="10"/>
  <c r="F88" i="10"/>
  <c r="D88" i="10"/>
  <c r="J86" i="10"/>
  <c r="I86" i="10"/>
  <c r="F86" i="10"/>
  <c r="D86" i="10"/>
  <c r="J109" i="10"/>
  <c r="I109" i="10"/>
  <c r="F109" i="10"/>
  <c r="D109" i="10"/>
  <c r="J107" i="10"/>
  <c r="I107" i="10"/>
  <c r="F107" i="10"/>
  <c r="D107" i="10"/>
  <c r="J114" i="10"/>
  <c r="I114" i="10"/>
  <c r="F114" i="10"/>
  <c r="D114" i="10"/>
  <c r="J53" i="10"/>
  <c r="I53" i="10"/>
  <c r="F53" i="10"/>
  <c r="D53" i="10"/>
  <c r="J72" i="10"/>
  <c r="I72" i="10"/>
  <c r="F72" i="10"/>
  <c r="D72" i="10"/>
  <c r="J106" i="10"/>
  <c r="I106" i="10"/>
  <c r="F106" i="10"/>
  <c r="D106" i="10"/>
  <c r="J97" i="10"/>
  <c r="I97" i="10"/>
  <c r="F97" i="10"/>
  <c r="D97" i="10"/>
  <c r="J51" i="10"/>
  <c r="I51" i="10"/>
  <c r="F51" i="10"/>
  <c r="D51" i="10"/>
  <c r="J43" i="10"/>
  <c r="I43" i="10"/>
  <c r="F43" i="10"/>
  <c r="D43" i="10"/>
  <c r="J103" i="10"/>
  <c r="I103" i="10"/>
  <c r="F103" i="10"/>
  <c r="D103" i="10"/>
  <c r="J47" i="10"/>
  <c r="I47" i="10"/>
  <c r="F47" i="10"/>
  <c r="D47" i="10"/>
  <c r="J89" i="10"/>
  <c r="I89" i="10"/>
  <c r="F89" i="10"/>
  <c r="D89" i="10"/>
  <c r="J48" i="10"/>
  <c r="I48" i="10"/>
  <c r="F48" i="10"/>
  <c r="D48" i="10"/>
  <c r="J98" i="10"/>
  <c r="I98" i="10"/>
  <c r="F98" i="10"/>
  <c r="D98" i="10"/>
  <c r="J92" i="10"/>
  <c r="I92" i="10"/>
  <c r="F92" i="10"/>
  <c r="D92" i="10"/>
  <c r="J84" i="10"/>
  <c r="I84" i="10"/>
  <c r="F84" i="10"/>
  <c r="D84" i="10"/>
  <c r="J50" i="10"/>
  <c r="I50" i="10"/>
  <c r="F50" i="10"/>
  <c r="D50" i="10"/>
  <c r="J76" i="10"/>
  <c r="I76" i="10"/>
  <c r="F76" i="10"/>
  <c r="D76" i="10"/>
  <c r="J114" i="9"/>
  <c r="I114" i="9"/>
  <c r="F114" i="9"/>
  <c r="D114" i="9"/>
  <c r="J113" i="9"/>
  <c r="I113" i="9"/>
  <c r="F113" i="9"/>
  <c r="D113" i="9"/>
  <c r="J112" i="9"/>
  <c r="I112" i="9"/>
  <c r="F112" i="9"/>
  <c r="D112" i="9"/>
  <c r="J111" i="9"/>
  <c r="I111" i="9"/>
  <c r="F111" i="9"/>
  <c r="D111" i="9"/>
  <c r="J110" i="9"/>
  <c r="I110" i="9"/>
  <c r="F110" i="9"/>
  <c r="D110" i="9"/>
  <c r="J109" i="9"/>
  <c r="I109" i="9"/>
  <c r="F109" i="9"/>
  <c r="D109" i="9"/>
  <c r="J108" i="9"/>
  <c r="I108" i="9"/>
  <c r="F108" i="9"/>
  <c r="D108" i="9"/>
  <c r="J107" i="9"/>
  <c r="I107" i="9"/>
  <c r="F107" i="9"/>
  <c r="D107" i="9"/>
  <c r="J106" i="9"/>
  <c r="I106" i="9"/>
  <c r="F106" i="9"/>
  <c r="D106" i="9"/>
  <c r="J105" i="9"/>
  <c r="I105" i="9"/>
  <c r="F105" i="9"/>
  <c r="D105" i="9"/>
  <c r="J104" i="9"/>
  <c r="I104" i="9"/>
  <c r="F104" i="9"/>
  <c r="D104" i="9"/>
  <c r="J103" i="9"/>
  <c r="I103" i="9"/>
  <c r="F103" i="9"/>
  <c r="D103" i="9"/>
  <c r="J102" i="9"/>
  <c r="I102" i="9"/>
  <c r="F102" i="9"/>
  <c r="D102" i="9"/>
  <c r="J101" i="9"/>
  <c r="I101" i="9"/>
  <c r="F101" i="9"/>
  <c r="D101" i="9"/>
  <c r="J100" i="9"/>
  <c r="I100" i="9"/>
  <c r="F100" i="9"/>
  <c r="D100" i="9"/>
  <c r="J99" i="9"/>
  <c r="I99" i="9"/>
  <c r="F99" i="9"/>
  <c r="D99" i="9"/>
  <c r="J98" i="9"/>
  <c r="I98" i="9"/>
  <c r="F98" i="9"/>
  <c r="D98" i="9"/>
  <c r="J97" i="9"/>
  <c r="I97" i="9"/>
  <c r="F97" i="9"/>
  <c r="D97" i="9"/>
  <c r="J96" i="9"/>
  <c r="I96" i="9"/>
  <c r="F96" i="9"/>
  <c r="D96" i="9"/>
  <c r="J95" i="9"/>
  <c r="I95" i="9"/>
  <c r="F95" i="9"/>
  <c r="D95" i="9"/>
  <c r="J94" i="9"/>
  <c r="I94" i="9"/>
  <c r="F94" i="9"/>
  <c r="D94" i="9"/>
  <c r="J93" i="9"/>
  <c r="I93" i="9"/>
  <c r="F93" i="9"/>
  <c r="D93" i="9"/>
  <c r="J92" i="9"/>
  <c r="I92" i="9"/>
  <c r="F92" i="9"/>
  <c r="D92" i="9"/>
  <c r="J91" i="9"/>
  <c r="I91" i="9"/>
  <c r="F91" i="9"/>
  <c r="D91" i="9"/>
  <c r="J90" i="9"/>
  <c r="I90" i="9"/>
  <c r="F90" i="9"/>
  <c r="D90" i="9"/>
  <c r="J89" i="9"/>
  <c r="I89" i="9"/>
  <c r="F89" i="9"/>
  <c r="D89" i="9"/>
  <c r="J88" i="9"/>
  <c r="I88" i="9"/>
  <c r="F88" i="9"/>
  <c r="D88" i="9"/>
  <c r="J87" i="9"/>
  <c r="I87" i="9"/>
  <c r="F87" i="9"/>
  <c r="D87" i="9"/>
  <c r="J86" i="9"/>
  <c r="I86" i="9"/>
  <c r="F86" i="9"/>
  <c r="D86" i="9"/>
  <c r="J85" i="9"/>
  <c r="I85" i="9"/>
  <c r="F85" i="9"/>
  <c r="D85" i="9"/>
  <c r="J84" i="9"/>
  <c r="I84" i="9"/>
  <c r="F84" i="9"/>
  <c r="D84" i="9"/>
  <c r="J83" i="9"/>
  <c r="I83" i="9"/>
  <c r="F83" i="9"/>
  <c r="D83" i="9"/>
  <c r="J82" i="9"/>
  <c r="I82" i="9"/>
  <c r="F82" i="9"/>
  <c r="D82" i="9"/>
  <c r="J81" i="9"/>
  <c r="I81" i="9"/>
  <c r="F81" i="9"/>
  <c r="D81" i="9"/>
  <c r="J80" i="9"/>
  <c r="I80" i="9"/>
  <c r="F80" i="9"/>
  <c r="D80" i="9"/>
  <c r="J79" i="9"/>
  <c r="I79" i="9"/>
  <c r="F79" i="9"/>
  <c r="D79" i="9"/>
  <c r="J78" i="9"/>
  <c r="I78" i="9"/>
  <c r="F78" i="9"/>
  <c r="D78" i="9"/>
  <c r="J77" i="9"/>
  <c r="I77" i="9"/>
  <c r="F77" i="9"/>
  <c r="D77" i="9"/>
  <c r="J76" i="9"/>
  <c r="I76" i="9"/>
  <c r="F76" i="9"/>
  <c r="D76" i="9"/>
  <c r="J75" i="9"/>
  <c r="I75" i="9"/>
  <c r="F75" i="9"/>
  <c r="D75" i="9"/>
  <c r="J74" i="9"/>
  <c r="I74" i="9"/>
  <c r="F74" i="9"/>
  <c r="D74" i="9"/>
  <c r="J73" i="9"/>
  <c r="I73" i="9"/>
  <c r="F73" i="9"/>
  <c r="D73" i="9"/>
  <c r="J72" i="9"/>
  <c r="I72" i="9"/>
  <c r="F72" i="9"/>
  <c r="D72" i="9"/>
  <c r="J71" i="9"/>
  <c r="I71" i="9"/>
  <c r="F71" i="9"/>
  <c r="D71" i="9"/>
  <c r="J70" i="9"/>
  <c r="I70" i="9"/>
  <c r="F70" i="9"/>
  <c r="D70" i="9"/>
  <c r="J69" i="9"/>
  <c r="I69" i="9"/>
  <c r="F69" i="9"/>
  <c r="D69" i="9"/>
  <c r="J68" i="9"/>
  <c r="I68" i="9"/>
  <c r="F68" i="9"/>
  <c r="D68" i="9"/>
  <c r="J67" i="9"/>
  <c r="I67" i="9"/>
  <c r="F67" i="9"/>
  <c r="D67" i="9"/>
  <c r="J66" i="9"/>
  <c r="I66" i="9"/>
  <c r="F66" i="9"/>
  <c r="D66" i="9"/>
  <c r="J65" i="9"/>
  <c r="I65" i="9"/>
  <c r="F65" i="9"/>
  <c r="D65" i="9"/>
  <c r="J64" i="9"/>
  <c r="I64" i="9"/>
  <c r="F64" i="9"/>
  <c r="D64" i="9"/>
  <c r="J63" i="9"/>
  <c r="I63" i="9"/>
  <c r="F63" i="9"/>
  <c r="D63" i="9"/>
  <c r="J62" i="9"/>
  <c r="I62" i="9"/>
  <c r="F62" i="9"/>
  <c r="D62" i="9"/>
  <c r="J61" i="9"/>
  <c r="I61" i="9"/>
  <c r="F61" i="9"/>
  <c r="D61" i="9"/>
  <c r="J60" i="9"/>
  <c r="I60" i="9"/>
  <c r="F60" i="9"/>
  <c r="D60" i="9"/>
  <c r="J59" i="9"/>
  <c r="I59" i="9"/>
  <c r="F59" i="9"/>
  <c r="D59" i="9"/>
  <c r="J58" i="9"/>
  <c r="I58" i="9"/>
  <c r="F58" i="9"/>
  <c r="D58" i="9"/>
  <c r="J57" i="9"/>
  <c r="I57" i="9"/>
  <c r="F57" i="9"/>
  <c r="D57" i="9"/>
  <c r="J56" i="9"/>
  <c r="I56" i="9"/>
  <c r="F56" i="9"/>
  <c r="D56" i="9"/>
  <c r="J55" i="9"/>
  <c r="I55" i="9"/>
  <c r="F55" i="9"/>
  <c r="D55" i="9"/>
  <c r="J54" i="9"/>
  <c r="I54" i="9"/>
  <c r="F54" i="9"/>
  <c r="D54" i="9"/>
  <c r="J53" i="9"/>
  <c r="I53" i="9"/>
  <c r="F53" i="9"/>
  <c r="D53" i="9"/>
  <c r="J52" i="9"/>
  <c r="I52" i="9"/>
  <c r="F52" i="9"/>
  <c r="D52" i="9"/>
  <c r="J51" i="9"/>
  <c r="I51" i="9"/>
  <c r="F51" i="9"/>
  <c r="D51" i="9"/>
  <c r="J50" i="9"/>
  <c r="I50" i="9"/>
  <c r="F50" i="9"/>
  <c r="D50" i="9"/>
  <c r="J49" i="9"/>
  <c r="I49" i="9"/>
  <c r="F49" i="9"/>
  <c r="D49" i="9"/>
  <c r="J48" i="9"/>
  <c r="I48" i="9"/>
  <c r="F48" i="9"/>
  <c r="D48" i="9"/>
  <c r="J47" i="9"/>
  <c r="I47" i="9"/>
  <c r="F47" i="9"/>
  <c r="D47" i="9"/>
  <c r="J46" i="9"/>
  <c r="I46" i="9"/>
  <c r="F46" i="9"/>
  <c r="D46" i="9"/>
  <c r="J45" i="9"/>
  <c r="I45" i="9"/>
  <c r="F45" i="9"/>
  <c r="D45" i="9"/>
  <c r="J44" i="9"/>
  <c r="I44" i="9"/>
  <c r="F44" i="9"/>
  <c r="D44" i="9"/>
  <c r="J43" i="9"/>
  <c r="I43" i="9"/>
  <c r="F43" i="9"/>
  <c r="D43" i="9"/>
  <c r="J42" i="9"/>
  <c r="I42" i="9"/>
  <c r="F42" i="9"/>
  <c r="D42" i="9"/>
  <c r="J41" i="9"/>
  <c r="I41" i="9"/>
  <c r="F41" i="9"/>
  <c r="D41" i="9"/>
  <c r="J40" i="9"/>
  <c r="I40" i="9"/>
  <c r="F40" i="9"/>
  <c r="D40" i="9"/>
  <c r="J39" i="9"/>
  <c r="I39" i="9"/>
  <c r="F39" i="9"/>
  <c r="D39" i="9"/>
  <c r="J38" i="9"/>
  <c r="I38" i="9"/>
  <c r="F38" i="9"/>
  <c r="D38" i="9"/>
  <c r="J37" i="9"/>
  <c r="I37" i="9"/>
  <c r="F37" i="9"/>
  <c r="D37" i="9"/>
  <c r="J36" i="9"/>
  <c r="I36" i="9"/>
  <c r="F36" i="9"/>
  <c r="D36" i="9"/>
  <c r="J35" i="9"/>
  <c r="I35" i="9"/>
  <c r="F35" i="9"/>
  <c r="D35" i="9"/>
  <c r="J34" i="9"/>
  <c r="I34" i="9"/>
  <c r="F34" i="9"/>
  <c r="D34" i="9"/>
  <c r="J33" i="9"/>
  <c r="I33" i="9"/>
  <c r="F33" i="9"/>
  <c r="D33" i="9"/>
  <c r="J32" i="9"/>
  <c r="I32" i="9"/>
  <c r="F32" i="9"/>
  <c r="D32" i="9"/>
  <c r="J31" i="9"/>
  <c r="I31" i="9"/>
  <c r="F31" i="9"/>
  <c r="D31" i="9"/>
  <c r="J30" i="9"/>
  <c r="I30" i="9"/>
  <c r="F30" i="9"/>
  <c r="D30" i="9"/>
  <c r="J29" i="9"/>
  <c r="I29" i="9"/>
  <c r="F29" i="9"/>
  <c r="D29" i="9"/>
  <c r="J28" i="9"/>
  <c r="I28" i="9"/>
  <c r="F28" i="9"/>
  <c r="D28" i="9"/>
  <c r="J27" i="9"/>
  <c r="I27" i="9"/>
  <c r="F27" i="9"/>
  <c r="D27" i="9"/>
  <c r="J26" i="9"/>
  <c r="I26" i="9"/>
  <c r="F26" i="9"/>
  <c r="D26" i="9"/>
  <c r="J25" i="9"/>
  <c r="I25" i="9"/>
  <c r="F25" i="9"/>
  <c r="D25" i="9"/>
  <c r="J24" i="9"/>
  <c r="I24" i="9"/>
  <c r="F24" i="9"/>
  <c r="D24" i="9"/>
  <c r="J23" i="9"/>
  <c r="I23" i="9"/>
  <c r="F23" i="9"/>
  <c r="D23" i="9"/>
  <c r="J22" i="9"/>
  <c r="I22" i="9"/>
  <c r="F22" i="9"/>
  <c r="D22" i="9"/>
  <c r="J21" i="9"/>
  <c r="I21" i="9"/>
  <c r="F21" i="9"/>
  <c r="D21" i="9"/>
  <c r="J20" i="9"/>
  <c r="I20" i="9"/>
  <c r="F20" i="9"/>
  <c r="D20" i="9"/>
  <c r="J19" i="9"/>
  <c r="I19" i="9"/>
  <c r="F19" i="9"/>
  <c r="D19" i="9"/>
  <c r="J18" i="9"/>
  <c r="I18" i="9"/>
  <c r="F18" i="9"/>
  <c r="D18" i="9"/>
  <c r="J17" i="9"/>
  <c r="I17" i="9"/>
  <c r="F17" i="9"/>
  <c r="D17" i="9"/>
  <c r="J16" i="9"/>
  <c r="I16" i="9"/>
  <c r="F16" i="9"/>
  <c r="D16" i="9"/>
  <c r="J15" i="9"/>
  <c r="I15" i="9"/>
  <c r="F15" i="9"/>
  <c r="D15" i="9"/>
  <c r="J14" i="9"/>
  <c r="I14" i="9"/>
  <c r="F14" i="9"/>
  <c r="D14" i="9"/>
  <c r="J13" i="9"/>
  <c r="I13" i="9"/>
  <c r="F13" i="9"/>
  <c r="D13" i="9"/>
  <c r="J12" i="9"/>
  <c r="I12" i="9"/>
  <c r="F12" i="9"/>
  <c r="D12" i="9"/>
  <c r="J11" i="9"/>
  <c r="I11" i="9"/>
  <c r="F11" i="9"/>
  <c r="D11" i="9"/>
  <c r="J10" i="9"/>
  <c r="I10" i="9"/>
  <c r="F10" i="9"/>
  <c r="D10" i="9"/>
  <c r="J9" i="9"/>
  <c r="I9" i="9"/>
  <c r="F9" i="9"/>
  <c r="D9" i="9"/>
  <c r="J8" i="9"/>
  <c r="I8" i="9"/>
  <c r="F8" i="9"/>
  <c r="D8" i="9"/>
  <c r="J7" i="9"/>
  <c r="I7" i="9"/>
  <c r="F7" i="9"/>
  <c r="D7" i="9"/>
  <c r="J6" i="9"/>
  <c r="I6" i="9"/>
  <c r="F6" i="9"/>
  <c r="D6" i="9"/>
  <c r="J5" i="9"/>
  <c r="I5" i="9"/>
  <c r="F5" i="9"/>
  <c r="D5" i="9"/>
  <c r="J4" i="9"/>
  <c r="I4" i="9"/>
  <c r="F4" i="9"/>
  <c r="D4" i="9"/>
  <c r="J3" i="9"/>
  <c r="I3" i="9"/>
  <c r="F3" i="9"/>
  <c r="D3" i="9"/>
  <c r="J2" i="9"/>
  <c r="I2" i="9"/>
  <c r="F2" i="9"/>
  <c r="D2" i="9"/>
  <c r="J114" i="8"/>
  <c r="I114" i="8"/>
  <c r="F114" i="8"/>
  <c r="D114" i="8"/>
  <c r="J113" i="8"/>
  <c r="I113" i="8"/>
  <c r="F113" i="8"/>
  <c r="D113" i="8"/>
  <c r="J112" i="8"/>
  <c r="I112" i="8"/>
  <c r="F112" i="8"/>
  <c r="D112" i="8"/>
  <c r="J111" i="8"/>
  <c r="I111" i="8"/>
  <c r="F111" i="8"/>
  <c r="D111" i="8"/>
  <c r="J110" i="8"/>
  <c r="I110" i="8"/>
  <c r="F110" i="8"/>
  <c r="D110" i="8"/>
  <c r="J109" i="8"/>
  <c r="I109" i="8"/>
  <c r="F109" i="8"/>
  <c r="D109" i="8"/>
  <c r="J108" i="8"/>
  <c r="I108" i="8"/>
  <c r="F108" i="8"/>
  <c r="D108" i="8"/>
  <c r="J107" i="8"/>
  <c r="I107" i="8"/>
  <c r="F107" i="8"/>
  <c r="D107" i="8"/>
  <c r="J106" i="8"/>
  <c r="I106" i="8"/>
  <c r="F106" i="8"/>
  <c r="D106" i="8"/>
  <c r="J105" i="8"/>
  <c r="I105" i="8"/>
  <c r="F105" i="8"/>
  <c r="D105" i="8"/>
  <c r="J104" i="8"/>
  <c r="I104" i="8"/>
  <c r="F104" i="8"/>
  <c r="D104" i="8"/>
  <c r="J103" i="8"/>
  <c r="I103" i="8"/>
  <c r="F103" i="8"/>
  <c r="D103" i="8"/>
  <c r="J102" i="8"/>
  <c r="I102" i="8"/>
  <c r="F102" i="8"/>
  <c r="D102" i="8"/>
  <c r="J101" i="8"/>
  <c r="I101" i="8"/>
  <c r="F101" i="8"/>
  <c r="D101" i="8"/>
  <c r="J100" i="8"/>
  <c r="I100" i="8"/>
  <c r="F100" i="8"/>
  <c r="D100" i="8"/>
  <c r="J99" i="8"/>
  <c r="I99" i="8"/>
  <c r="F99" i="8"/>
  <c r="D99" i="8"/>
  <c r="J98" i="8"/>
  <c r="I98" i="8"/>
  <c r="F98" i="8"/>
  <c r="D98" i="8"/>
  <c r="J97" i="8"/>
  <c r="I97" i="8"/>
  <c r="F97" i="8"/>
  <c r="D97" i="8"/>
  <c r="J96" i="8"/>
  <c r="I96" i="8"/>
  <c r="F96" i="8"/>
  <c r="D96" i="8"/>
  <c r="J95" i="8"/>
  <c r="I95" i="8"/>
  <c r="F95" i="8"/>
  <c r="D95" i="8"/>
  <c r="J94" i="8"/>
  <c r="I94" i="8"/>
  <c r="F94" i="8"/>
  <c r="D94" i="8"/>
  <c r="J93" i="8"/>
  <c r="I93" i="8"/>
  <c r="F93" i="8"/>
  <c r="D93" i="8"/>
  <c r="J92" i="8"/>
  <c r="I92" i="8"/>
  <c r="F92" i="8"/>
  <c r="D92" i="8"/>
  <c r="J91" i="8"/>
  <c r="I91" i="8"/>
  <c r="F91" i="8"/>
  <c r="D91" i="8"/>
  <c r="J90" i="8"/>
  <c r="I90" i="8"/>
  <c r="F90" i="8"/>
  <c r="D90" i="8"/>
  <c r="J89" i="8"/>
  <c r="I89" i="8"/>
  <c r="F89" i="8"/>
  <c r="D89" i="8"/>
  <c r="J88" i="8"/>
  <c r="I88" i="8"/>
  <c r="F88" i="8"/>
  <c r="D88" i="8"/>
  <c r="J87" i="8"/>
  <c r="I87" i="8"/>
  <c r="F87" i="8"/>
  <c r="D87" i="8"/>
  <c r="J86" i="8"/>
  <c r="I86" i="8"/>
  <c r="F86" i="8"/>
  <c r="D86" i="8"/>
  <c r="J85" i="8"/>
  <c r="I85" i="8"/>
  <c r="F85" i="8"/>
  <c r="D85" i="8"/>
  <c r="J84" i="8"/>
  <c r="I84" i="8"/>
  <c r="F84" i="8"/>
  <c r="D84" i="8"/>
  <c r="J83" i="8"/>
  <c r="I83" i="8"/>
  <c r="F83" i="8"/>
  <c r="D83" i="8"/>
  <c r="J82" i="8"/>
  <c r="I82" i="8"/>
  <c r="F82" i="8"/>
  <c r="D82" i="8"/>
  <c r="J81" i="8"/>
  <c r="I81" i="8"/>
  <c r="F81" i="8"/>
  <c r="D81" i="8"/>
  <c r="J80" i="8"/>
  <c r="I80" i="8"/>
  <c r="F80" i="8"/>
  <c r="D80" i="8"/>
  <c r="J79" i="8"/>
  <c r="I79" i="8"/>
  <c r="F79" i="8"/>
  <c r="D79" i="8"/>
  <c r="J78" i="8"/>
  <c r="I78" i="8"/>
  <c r="F78" i="8"/>
  <c r="D78" i="8"/>
  <c r="J77" i="8"/>
  <c r="I77" i="8"/>
  <c r="F77" i="8"/>
  <c r="D77" i="8"/>
  <c r="J76" i="8"/>
  <c r="I76" i="8"/>
  <c r="F76" i="8"/>
  <c r="D76" i="8"/>
  <c r="J75" i="8"/>
  <c r="I75" i="8"/>
  <c r="F75" i="8"/>
  <c r="D75" i="8"/>
  <c r="J74" i="8"/>
  <c r="I74" i="8"/>
  <c r="F74" i="8"/>
  <c r="D74" i="8"/>
  <c r="J73" i="8"/>
  <c r="I73" i="8"/>
  <c r="F73" i="8"/>
  <c r="D73" i="8"/>
  <c r="J72" i="8"/>
  <c r="I72" i="8"/>
  <c r="F72" i="8"/>
  <c r="D72" i="8"/>
  <c r="J71" i="8"/>
  <c r="I71" i="8"/>
  <c r="F71" i="8"/>
  <c r="D71" i="8"/>
  <c r="J70" i="8"/>
  <c r="I70" i="8"/>
  <c r="F70" i="8"/>
  <c r="D70" i="8"/>
  <c r="J69" i="8"/>
  <c r="I69" i="8"/>
  <c r="F69" i="8"/>
  <c r="D69" i="8"/>
  <c r="J68" i="8"/>
  <c r="I68" i="8"/>
  <c r="F68" i="8"/>
  <c r="D68" i="8"/>
  <c r="J67" i="8"/>
  <c r="I67" i="8"/>
  <c r="F67" i="8"/>
  <c r="D67" i="8"/>
  <c r="J66" i="8"/>
  <c r="I66" i="8"/>
  <c r="F66" i="8"/>
  <c r="D66" i="8"/>
  <c r="J65" i="8"/>
  <c r="I65" i="8"/>
  <c r="F65" i="8"/>
  <c r="D65" i="8"/>
  <c r="J64" i="8"/>
  <c r="I64" i="8"/>
  <c r="F64" i="8"/>
  <c r="D64" i="8"/>
  <c r="J63" i="8"/>
  <c r="I63" i="8"/>
  <c r="F63" i="8"/>
  <c r="D63" i="8"/>
  <c r="J62" i="8"/>
  <c r="I62" i="8"/>
  <c r="F62" i="8"/>
  <c r="D62" i="8"/>
  <c r="J61" i="8"/>
  <c r="I61" i="8"/>
  <c r="F61" i="8"/>
  <c r="D61" i="8"/>
  <c r="J60" i="8"/>
  <c r="I60" i="8"/>
  <c r="F60" i="8"/>
  <c r="D60" i="8"/>
  <c r="J59" i="8"/>
  <c r="I59" i="8"/>
  <c r="F59" i="8"/>
  <c r="D59" i="8"/>
  <c r="J58" i="8"/>
  <c r="I58" i="8"/>
  <c r="F58" i="8"/>
  <c r="D58" i="8"/>
  <c r="J57" i="8"/>
  <c r="I57" i="8"/>
  <c r="F57" i="8"/>
  <c r="D57" i="8"/>
  <c r="J56" i="8"/>
  <c r="I56" i="8"/>
  <c r="F56" i="8"/>
  <c r="D56" i="8"/>
  <c r="J55" i="8"/>
  <c r="I55" i="8"/>
  <c r="F55" i="8"/>
  <c r="D55" i="8"/>
  <c r="J54" i="8"/>
  <c r="I54" i="8"/>
  <c r="F54" i="8"/>
  <c r="D54" i="8"/>
  <c r="J53" i="8"/>
  <c r="I53" i="8"/>
  <c r="F53" i="8"/>
  <c r="D53" i="8"/>
  <c r="J52" i="8"/>
  <c r="I52" i="8"/>
  <c r="F52" i="8"/>
  <c r="D52" i="8"/>
  <c r="J51" i="8"/>
  <c r="I51" i="8"/>
  <c r="F51" i="8"/>
  <c r="D51" i="8"/>
  <c r="J50" i="8"/>
  <c r="I50" i="8"/>
  <c r="F50" i="8"/>
  <c r="D50" i="8"/>
  <c r="J49" i="8"/>
  <c r="I49" i="8"/>
  <c r="F49" i="8"/>
  <c r="D49" i="8"/>
  <c r="J48" i="8"/>
  <c r="I48" i="8"/>
  <c r="F48" i="8"/>
  <c r="D48" i="8"/>
  <c r="J47" i="8"/>
  <c r="I47" i="8"/>
  <c r="F47" i="8"/>
  <c r="D47" i="8"/>
  <c r="J46" i="8"/>
  <c r="I46" i="8"/>
  <c r="F46" i="8"/>
  <c r="D46" i="8"/>
  <c r="J45" i="8"/>
  <c r="I45" i="8"/>
  <c r="F45" i="8"/>
  <c r="D45" i="8"/>
  <c r="J44" i="8"/>
  <c r="I44" i="8"/>
  <c r="F44" i="8"/>
  <c r="D44" i="8"/>
  <c r="J43" i="8"/>
  <c r="I43" i="8"/>
  <c r="F43" i="8"/>
  <c r="D43" i="8"/>
  <c r="J42" i="8"/>
  <c r="I42" i="8"/>
  <c r="F42" i="8"/>
  <c r="D42" i="8"/>
  <c r="J41" i="8"/>
  <c r="I41" i="8"/>
  <c r="F41" i="8"/>
  <c r="D41" i="8"/>
  <c r="J40" i="8"/>
  <c r="I40" i="8"/>
  <c r="F40" i="8"/>
  <c r="D40" i="8"/>
  <c r="J39" i="8"/>
  <c r="I39" i="8"/>
  <c r="F39" i="8"/>
  <c r="D39" i="8"/>
  <c r="J38" i="8"/>
  <c r="I38" i="8"/>
  <c r="F38" i="8"/>
  <c r="D38" i="8"/>
  <c r="J37" i="8"/>
  <c r="I37" i="8"/>
  <c r="F37" i="8"/>
  <c r="D37" i="8"/>
  <c r="J36" i="8"/>
  <c r="I36" i="8"/>
  <c r="F36" i="8"/>
  <c r="D36" i="8"/>
  <c r="J35" i="8"/>
  <c r="I35" i="8"/>
  <c r="F35" i="8"/>
  <c r="D35" i="8"/>
  <c r="J34" i="8"/>
  <c r="I34" i="8"/>
  <c r="F34" i="8"/>
  <c r="D34" i="8"/>
  <c r="J33" i="8"/>
  <c r="I33" i="8"/>
  <c r="F33" i="8"/>
  <c r="D33" i="8"/>
  <c r="J32" i="8"/>
  <c r="I32" i="8"/>
  <c r="F32" i="8"/>
  <c r="D32" i="8"/>
  <c r="J31" i="8"/>
  <c r="I31" i="8"/>
  <c r="F31" i="8"/>
  <c r="D31" i="8"/>
  <c r="J30" i="8"/>
  <c r="I30" i="8"/>
  <c r="F30" i="8"/>
  <c r="D30" i="8"/>
  <c r="J29" i="8"/>
  <c r="I29" i="8"/>
  <c r="F29" i="8"/>
  <c r="D29" i="8"/>
  <c r="J28" i="8"/>
  <c r="I28" i="8"/>
  <c r="F28" i="8"/>
  <c r="D28" i="8"/>
  <c r="J27" i="8"/>
  <c r="I27" i="8"/>
  <c r="F27" i="8"/>
  <c r="D27" i="8"/>
  <c r="J26" i="8"/>
  <c r="I26" i="8"/>
  <c r="F26" i="8"/>
  <c r="D26" i="8"/>
  <c r="J25" i="8"/>
  <c r="I25" i="8"/>
  <c r="F25" i="8"/>
  <c r="D25" i="8"/>
  <c r="J24" i="8"/>
  <c r="I24" i="8"/>
  <c r="F24" i="8"/>
  <c r="D24" i="8"/>
  <c r="J23" i="8"/>
  <c r="I23" i="8"/>
  <c r="F23" i="8"/>
  <c r="D23" i="8"/>
  <c r="J22" i="8"/>
  <c r="I22" i="8"/>
  <c r="F22" i="8"/>
  <c r="D22" i="8"/>
  <c r="J21" i="8"/>
  <c r="I21" i="8"/>
  <c r="F21" i="8"/>
  <c r="D21" i="8"/>
  <c r="J20" i="8"/>
  <c r="I20" i="8"/>
  <c r="F20" i="8"/>
  <c r="D20" i="8"/>
  <c r="J19" i="8"/>
  <c r="I19" i="8"/>
  <c r="F19" i="8"/>
  <c r="D19" i="8"/>
  <c r="J18" i="8"/>
  <c r="I18" i="8"/>
  <c r="F18" i="8"/>
  <c r="D18" i="8"/>
  <c r="J17" i="8"/>
  <c r="I17" i="8"/>
  <c r="F17" i="8"/>
  <c r="D17" i="8"/>
  <c r="J16" i="8"/>
  <c r="I16" i="8"/>
  <c r="F16" i="8"/>
  <c r="D16" i="8"/>
  <c r="J15" i="8"/>
  <c r="I15" i="8"/>
  <c r="F15" i="8"/>
  <c r="D15" i="8"/>
  <c r="J14" i="8"/>
  <c r="I14" i="8"/>
  <c r="F14" i="8"/>
  <c r="D14" i="8"/>
  <c r="J13" i="8"/>
  <c r="I13" i="8"/>
  <c r="F13" i="8"/>
  <c r="D13" i="8"/>
  <c r="J12" i="8"/>
  <c r="I12" i="8"/>
  <c r="F12" i="8"/>
  <c r="D12" i="8"/>
  <c r="J11" i="8"/>
  <c r="I11" i="8"/>
  <c r="F11" i="8"/>
  <c r="D11" i="8"/>
  <c r="J10" i="8"/>
  <c r="I10" i="8"/>
  <c r="F10" i="8"/>
  <c r="D10" i="8"/>
  <c r="J9" i="8"/>
  <c r="I9" i="8"/>
  <c r="F9" i="8"/>
  <c r="D9" i="8"/>
  <c r="J8" i="8"/>
  <c r="I8" i="8"/>
  <c r="F8" i="8"/>
  <c r="D8" i="8"/>
  <c r="J7" i="8"/>
  <c r="I7" i="8"/>
  <c r="F7" i="8"/>
  <c r="D7" i="8"/>
  <c r="J6" i="8"/>
  <c r="I6" i="8"/>
  <c r="F6" i="8"/>
  <c r="D6" i="8"/>
  <c r="J5" i="8"/>
  <c r="I5" i="8"/>
  <c r="F5" i="8"/>
  <c r="D5" i="8"/>
  <c r="J4" i="8"/>
  <c r="I4" i="8"/>
  <c r="F4" i="8"/>
  <c r="D4" i="8"/>
  <c r="J3" i="8"/>
  <c r="I3" i="8"/>
  <c r="F3" i="8"/>
  <c r="D3" i="8"/>
  <c r="J2" i="8"/>
  <c r="I2" i="8"/>
  <c r="F2" i="8"/>
  <c r="D2" i="8"/>
  <c r="J114" i="7"/>
  <c r="I114" i="7"/>
  <c r="F114" i="7"/>
  <c r="D114" i="7"/>
  <c r="J58" i="7"/>
  <c r="I58" i="7"/>
  <c r="F58" i="7"/>
  <c r="D58" i="7"/>
  <c r="J113" i="7"/>
  <c r="I113" i="7"/>
  <c r="F113" i="7"/>
  <c r="D113" i="7"/>
  <c r="J112" i="7"/>
  <c r="I112" i="7"/>
  <c r="F112" i="7"/>
  <c r="D112" i="7"/>
  <c r="J111" i="7"/>
  <c r="I111" i="7"/>
  <c r="F111" i="7"/>
  <c r="D111" i="7"/>
  <c r="J110" i="7"/>
  <c r="I110" i="7"/>
  <c r="F110" i="7"/>
  <c r="D110" i="7"/>
  <c r="J109" i="7"/>
  <c r="I109" i="7"/>
  <c r="F109" i="7"/>
  <c r="D109" i="7"/>
  <c r="J108" i="7"/>
  <c r="I108" i="7"/>
  <c r="F108" i="7"/>
  <c r="D108" i="7"/>
  <c r="J107" i="7"/>
  <c r="I107" i="7"/>
  <c r="F107" i="7"/>
  <c r="D107" i="7"/>
  <c r="J106" i="7"/>
  <c r="I106" i="7"/>
  <c r="F106" i="7"/>
  <c r="D106" i="7"/>
  <c r="J8" i="7"/>
  <c r="I8" i="7"/>
  <c r="F8" i="7"/>
  <c r="D8" i="7"/>
  <c r="J105" i="7"/>
  <c r="I105" i="7"/>
  <c r="F105" i="7"/>
  <c r="D105" i="7"/>
  <c r="J104" i="7"/>
  <c r="I104" i="7"/>
  <c r="F104" i="7"/>
  <c r="D104" i="7"/>
  <c r="J103" i="7"/>
  <c r="I103" i="7"/>
  <c r="F103" i="7"/>
  <c r="D103" i="7"/>
  <c r="J102" i="7"/>
  <c r="I102" i="7"/>
  <c r="F102" i="7"/>
  <c r="D102" i="7"/>
  <c r="J101" i="7"/>
  <c r="I101" i="7"/>
  <c r="F101" i="7"/>
  <c r="D101" i="7"/>
  <c r="J100" i="7"/>
  <c r="I100" i="7"/>
  <c r="F100" i="7"/>
  <c r="D100" i="7"/>
  <c r="J99" i="7"/>
  <c r="I99" i="7"/>
  <c r="F99" i="7"/>
  <c r="D99" i="7"/>
  <c r="J98" i="7"/>
  <c r="I98" i="7"/>
  <c r="F98" i="7"/>
  <c r="D98" i="7"/>
  <c r="J97" i="7"/>
  <c r="I97" i="7"/>
  <c r="F97" i="7"/>
  <c r="D97" i="7"/>
  <c r="J96" i="7"/>
  <c r="I96" i="7"/>
  <c r="F96" i="7"/>
  <c r="D96" i="7"/>
  <c r="J95" i="7"/>
  <c r="I95" i="7"/>
  <c r="F95" i="7"/>
  <c r="D95" i="7"/>
  <c r="J94" i="7"/>
  <c r="I94" i="7"/>
  <c r="F94" i="7"/>
  <c r="D94" i="7"/>
  <c r="J93" i="7"/>
  <c r="I93" i="7"/>
  <c r="F93" i="7"/>
  <c r="D93" i="7"/>
  <c r="J92" i="7"/>
  <c r="I92" i="7"/>
  <c r="F92" i="7"/>
  <c r="D92" i="7"/>
  <c r="J91" i="7"/>
  <c r="I91" i="7"/>
  <c r="F91" i="7"/>
  <c r="D91" i="7"/>
  <c r="J90" i="7"/>
  <c r="I90" i="7"/>
  <c r="F90" i="7"/>
  <c r="D90" i="7"/>
  <c r="J89" i="7"/>
  <c r="I89" i="7"/>
  <c r="F89" i="7"/>
  <c r="D89" i="7"/>
  <c r="J88" i="7"/>
  <c r="I88" i="7"/>
  <c r="F88" i="7"/>
  <c r="D88" i="7"/>
  <c r="J37" i="7"/>
  <c r="I37" i="7"/>
  <c r="F37" i="7"/>
  <c r="D37" i="7"/>
  <c r="J87" i="7"/>
  <c r="I87" i="7"/>
  <c r="F87" i="7"/>
  <c r="D87" i="7"/>
  <c r="J86" i="7"/>
  <c r="I86" i="7"/>
  <c r="F86" i="7"/>
  <c r="D86" i="7"/>
  <c r="J7" i="7"/>
  <c r="I7" i="7"/>
  <c r="F7" i="7"/>
  <c r="D7" i="7"/>
  <c r="J46" i="7"/>
  <c r="I46" i="7"/>
  <c r="F46" i="7"/>
  <c r="D46" i="7"/>
  <c r="J85" i="7"/>
  <c r="I85" i="7"/>
  <c r="F85" i="7"/>
  <c r="D85" i="7"/>
  <c r="J84" i="7"/>
  <c r="I84" i="7"/>
  <c r="F84" i="7"/>
  <c r="D84" i="7"/>
  <c r="J83" i="7"/>
  <c r="I83" i="7"/>
  <c r="F83" i="7"/>
  <c r="D83" i="7"/>
  <c r="J82" i="7"/>
  <c r="I82" i="7"/>
  <c r="F82" i="7"/>
  <c r="D82" i="7"/>
  <c r="J57" i="7"/>
  <c r="I57" i="7"/>
  <c r="F57" i="7"/>
  <c r="D57" i="7"/>
  <c r="J55" i="7"/>
  <c r="I55" i="7"/>
  <c r="F55" i="7"/>
  <c r="D55" i="7"/>
  <c r="J45" i="7"/>
  <c r="I45" i="7"/>
  <c r="F45" i="7"/>
  <c r="D45" i="7"/>
  <c r="J53" i="7"/>
  <c r="I53" i="7"/>
  <c r="F53" i="7"/>
  <c r="D53" i="7"/>
  <c r="J44" i="7"/>
  <c r="I44" i="7"/>
  <c r="F44" i="7"/>
  <c r="D44" i="7"/>
  <c r="J50" i="7"/>
  <c r="I50" i="7"/>
  <c r="F50" i="7"/>
  <c r="D50" i="7"/>
  <c r="J43" i="7"/>
  <c r="I43" i="7"/>
  <c r="F43" i="7"/>
  <c r="D43" i="7"/>
  <c r="J52" i="7"/>
  <c r="I52" i="7"/>
  <c r="F52" i="7"/>
  <c r="D52" i="7"/>
  <c r="J54" i="7"/>
  <c r="I54" i="7"/>
  <c r="F54" i="7"/>
  <c r="D54" i="7"/>
  <c r="J47" i="7"/>
  <c r="I47" i="7"/>
  <c r="F47" i="7"/>
  <c r="D47" i="7"/>
  <c r="J49" i="7"/>
  <c r="I49" i="7"/>
  <c r="F49" i="7"/>
  <c r="D49" i="7"/>
  <c r="J48" i="7"/>
  <c r="I48" i="7"/>
  <c r="F48" i="7"/>
  <c r="D48" i="7"/>
  <c r="J56" i="7"/>
  <c r="I56" i="7"/>
  <c r="F56" i="7"/>
  <c r="D56" i="7"/>
  <c r="J42" i="7"/>
  <c r="I42" i="7"/>
  <c r="F42" i="7"/>
  <c r="D42" i="7"/>
  <c r="J51" i="7"/>
  <c r="I51" i="7"/>
  <c r="F51" i="7"/>
  <c r="D51" i="7"/>
  <c r="J81" i="7"/>
  <c r="I81" i="7"/>
  <c r="F81" i="7"/>
  <c r="D81" i="7"/>
  <c r="J80" i="7"/>
  <c r="I80" i="7"/>
  <c r="F80" i="7"/>
  <c r="D80" i="7"/>
  <c r="J79" i="7"/>
  <c r="I79" i="7"/>
  <c r="F79" i="7"/>
  <c r="D79" i="7"/>
  <c r="J78" i="7"/>
  <c r="I78" i="7"/>
  <c r="F78" i="7"/>
  <c r="D78" i="7"/>
  <c r="J77" i="7"/>
  <c r="I77" i="7"/>
  <c r="F77" i="7"/>
  <c r="D77" i="7"/>
  <c r="J76" i="7"/>
  <c r="I76" i="7"/>
  <c r="F76" i="7"/>
  <c r="D76" i="7"/>
  <c r="J75" i="7"/>
  <c r="I75" i="7"/>
  <c r="F75" i="7"/>
  <c r="D75" i="7"/>
  <c r="J74" i="7"/>
  <c r="I74" i="7"/>
  <c r="F74" i="7"/>
  <c r="D74" i="7"/>
  <c r="J73" i="7"/>
  <c r="I73" i="7"/>
  <c r="F73" i="7"/>
  <c r="D73" i="7"/>
  <c r="J72" i="7"/>
  <c r="I72" i="7"/>
  <c r="F72" i="7"/>
  <c r="D72" i="7"/>
  <c r="J71" i="7"/>
  <c r="I71" i="7"/>
  <c r="F71" i="7"/>
  <c r="D71" i="7"/>
  <c r="J70" i="7"/>
  <c r="I70" i="7"/>
  <c r="F70" i="7"/>
  <c r="D70" i="7"/>
  <c r="J69" i="7"/>
  <c r="I69" i="7"/>
  <c r="F69" i="7"/>
  <c r="D69" i="7"/>
  <c r="J68" i="7"/>
  <c r="I68" i="7"/>
  <c r="F68" i="7"/>
  <c r="D68" i="7"/>
  <c r="J67" i="7"/>
  <c r="I67" i="7"/>
  <c r="F67" i="7"/>
  <c r="D67" i="7"/>
  <c r="J66" i="7"/>
  <c r="I66" i="7"/>
  <c r="F66" i="7"/>
  <c r="D66" i="7"/>
  <c r="J65" i="7"/>
  <c r="I65" i="7"/>
  <c r="F65" i="7"/>
  <c r="D65" i="7"/>
  <c r="J64" i="7"/>
  <c r="I64" i="7"/>
  <c r="F64" i="7"/>
  <c r="D64" i="7"/>
  <c r="J63" i="7"/>
  <c r="I63" i="7"/>
  <c r="F63" i="7"/>
  <c r="D63" i="7"/>
  <c r="J62" i="7"/>
  <c r="I62" i="7"/>
  <c r="F62" i="7"/>
  <c r="D62" i="7"/>
  <c r="J61" i="7"/>
  <c r="I61" i="7"/>
  <c r="F61" i="7"/>
  <c r="D61" i="7"/>
  <c r="J24" i="7"/>
  <c r="I24" i="7"/>
  <c r="F24" i="7"/>
  <c r="D24" i="7"/>
  <c r="J29" i="7"/>
  <c r="I29" i="7"/>
  <c r="F29" i="7"/>
  <c r="D29" i="7"/>
  <c r="J6" i="7"/>
  <c r="I6" i="7"/>
  <c r="F6" i="7"/>
  <c r="D6" i="7"/>
  <c r="J5" i="7"/>
  <c r="I5" i="7"/>
  <c r="F5" i="7"/>
  <c r="D5" i="7"/>
  <c r="J23" i="7"/>
  <c r="I23" i="7"/>
  <c r="F23" i="7"/>
  <c r="D23" i="7"/>
  <c r="J15" i="7"/>
  <c r="I15" i="7"/>
  <c r="F15" i="7"/>
  <c r="D15" i="7"/>
  <c r="J28" i="7"/>
  <c r="I28" i="7"/>
  <c r="F28" i="7"/>
  <c r="D28" i="7"/>
  <c r="J14" i="7"/>
  <c r="I14" i="7"/>
  <c r="F14" i="7"/>
  <c r="D14" i="7"/>
  <c r="J27" i="7"/>
  <c r="I27" i="7"/>
  <c r="F27" i="7"/>
  <c r="D27" i="7"/>
  <c r="J60" i="7"/>
  <c r="I60" i="7"/>
  <c r="F60" i="7"/>
  <c r="D60" i="7"/>
  <c r="J33" i="7"/>
  <c r="I33" i="7"/>
  <c r="F33" i="7"/>
  <c r="D33" i="7"/>
  <c r="J40" i="7"/>
  <c r="I40" i="7"/>
  <c r="F40" i="7"/>
  <c r="D40" i="7"/>
  <c r="J39" i="7"/>
  <c r="I39" i="7"/>
  <c r="F39" i="7"/>
  <c r="D39" i="7"/>
  <c r="J20" i="7"/>
  <c r="I20" i="7"/>
  <c r="F20" i="7"/>
  <c r="D20" i="7"/>
  <c r="J26" i="7"/>
  <c r="I26" i="7"/>
  <c r="F26" i="7"/>
  <c r="D26" i="7"/>
  <c r="J25" i="7"/>
  <c r="I25" i="7"/>
  <c r="F25" i="7"/>
  <c r="D25" i="7"/>
  <c r="J36" i="7"/>
  <c r="I36" i="7"/>
  <c r="F36" i="7"/>
  <c r="D36" i="7"/>
  <c r="J59" i="7"/>
  <c r="I59" i="7"/>
  <c r="F59" i="7"/>
  <c r="D59" i="7"/>
  <c r="J41" i="7"/>
  <c r="I41" i="7"/>
  <c r="F41" i="7"/>
  <c r="D41" i="7"/>
  <c r="J19" i="7"/>
  <c r="I19" i="7"/>
  <c r="F19" i="7"/>
  <c r="D19" i="7"/>
  <c r="J18" i="7"/>
  <c r="I18" i="7"/>
  <c r="F18" i="7"/>
  <c r="D18" i="7"/>
  <c r="J4" i="7"/>
  <c r="I4" i="7"/>
  <c r="F4" i="7"/>
  <c r="D4" i="7"/>
  <c r="J3" i="7"/>
  <c r="I3" i="7"/>
  <c r="F3" i="7"/>
  <c r="D3" i="7"/>
  <c r="J2" i="7"/>
  <c r="I2" i="7"/>
  <c r="F2" i="7"/>
  <c r="D2" i="7"/>
  <c r="J30" i="7"/>
  <c r="I30" i="7"/>
  <c r="F30" i="7"/>
  <c r="D30" i="7"/>
  <c r="J22" i="7"/>
  <c r="I22" i="7"/>
  <c r="F22" i="7"/>
  <c r="D22" i="7"/>
  <c r="J11" i="7"/>
  <c r="I11" i="7"/>
  <c r="F11" i="7"/>
  <c r="D11" i="7"/>
  <c r="J13" i="7"/>
  <c r="I13" i="7"/>
  <c r="F13" i="7"/>
  <c r="D13" i="7"/>
  <c r="J32" i="7"/>
  <c r="I32" i="7"/>
  <c r="F32" i="7"/>
  <c r="D32" i="7"/>
  <c r="J38" i="7"/>
  <c r="I38" i="7"/>
  <c r="F38" i="7"/>
  <c r="D38" i="7"/>
  <c r="J10" i="7"/>
  <c r="I10" i="7"/>
  <c r="F10" i="7"/>
  <c r="D10" i="7"/>
  <c r="J35" i="7"/>
  <c r="I35" i="7"/>
  <c r="F35" i="7"/>
  <c r="D35" i="7"/>
  <c r="J17" i="7"/>
  <c r="I17" i="7"/>
  <c r="F17" i="7"/>
  <c r="D17" i="7"/>
  <c r="J34" i="7"/>
  <c r="I34" i="7"/>
  <c r="F34" i="7"/>
  <c r="D34" i="7"/>
  <c r="J9" i="7"/>
  <c r="I9" i="7"/>
  <c r="F9" i="7"/>
  <c r="D9" i="7"/>
  <c r="J12" i="7"/>
  <c r="I12" i="7"/>
  <c r="F12" i="7"/>
  <c r="D12" i="7"/>
  <c r="J16" i="7"/>
  <c r="I16" i="7"/>
  <c r="F16" i="7"/>
  <c r="D16" i="7"/>
  <c r="J31" i="7"/>
  <c r="I31" i="7"/>
  <c r="F31" i="7"/>
  <c r="D31" i="7"/>
  <c r="J21" i="7"/>
  <c r="I21" i="7"/>
  <c r="F21" i="7"/>
  <c r="D21" i="7"/>
  <c r="A1" i="6" a="1"/>
  <c r="A1" i="6" s="1"/>
  <c r="B22" i="3"/>
  <c r="B21" i="3"/>
  <c r="B20" i="3"/>
  <c r="B14" i="3"/>
  <c r="B13" i="3"/>
  <c r="B9" i="3"/>
  <c r="B8" i="3"/>
  <c r="B7" i="3"/>
  <c r="B6" i="3"/>
  <c r="J40" i="2"/>
  <c r="F40" i="2"/>
  <c r="J41" i="2"/>
  <c r="I41" i="2"/>
  <c r="F41" i="2"/>
  <c r="D41" i="2"/>
  <c r="B5" i="3"/>
  <c r="B4" i="3" a="1"/>
  <c r="B4" i="3" s="1"/>
  <c r="B3" i="3"/>
  <c r="B2" i="3"/>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<sst xmlns="http://schemas.openxmlformats.org/spreadsheetml/2006/main" count="1359" uniqueCount="368">
  <si>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</si>
  <si>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</si>
  <si>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</si>
  <si>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</si>
  <si>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</si>
  <si>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</si>
  <si>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</si>
  <si>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</si>
  <si>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</si>
  <si>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</si>
  <si>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</si>
  <si>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</si>
  <si>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</si>
  <si>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</si>
  <si>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</si>
  <si>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</si>
  <si>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</si>
  <si>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</si>
  <si>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</si>
  <si>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</si>
  <si>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</si>
  <si>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</si>
  <si>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</si>
  <si>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</si>
  <si>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</si>
  <si>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</si>
  <si>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</si>
  <si>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</si>
  <si>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</si>
  <si>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</si>
  <si>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</si>
  <si>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</si>
  <si>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</si>
  <si>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</si>
  <si>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</si>
  <si>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</si>
  <si>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</si>
  <si>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</si>
  <si>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</si>
  <si>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</si>
  <si>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</si>
  <si>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</si>
  <si>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</si>
  <si>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</si>
  <si>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</si>
  <si>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</si>
  <si>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</si>
  <si>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</si>
  <si>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</si>
  <si>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</si>
  <si>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</si>
  <si>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</si>
  <si>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</si>
  <si>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</si>
  <si>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</si>
  <si>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</si>
  <si>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</si>
  <si>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</si>
  <si>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</si>
  <si>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</si>
  <si>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</si>
  <si>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</si>
  <si>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</si>
  <si>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</si>
  <si>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</si>
  <si>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</si>
  <si>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</si>
  <si>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</si>
  <si>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</si>
  <si>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</si>
  <si>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</si>
  <si>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</si>
  <si>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</si>
  <si>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</si>
  <si>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</si>
  <si>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</si>
  <si>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</si>
  <si>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</si>
  <si>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</si>
  <si>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</si>
  <si>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</si>
  <si>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</si>
  <si>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</si>
  <si>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</si>
  <si>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</si>
  <si>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</si>
  <si>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</si>
  <si>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</si>
  <si>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</si>
  <si>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</si>
  <si>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</si>
  <si>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</si>
  <si>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</si>
  <si>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</si>
  <si>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</si>
  <si>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</si>
  <si>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</si>
  <si>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</si>
  <si>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</si>
  <si>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</si>
  <si>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</si>
  <si>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</si>
  <si>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</si>
  <si>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</si>
  <si>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</si>
  <si>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</si>
  <si>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</si>
  <si>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</si>
  <si>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</si>
  <si>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</si>
  <si>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</si>
  <si>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</si>
  <si>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</si>
  <si>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</si>
  <si>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</si>
  <si>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</si>
  <si>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</si>
  <si>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</si>
  <si>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</si>
  <si>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</si>
  <si>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</si>
  <si>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</si>
  <si>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</si>
  <si>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</si>
  <si>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</si>
  <si>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</si>
  <si>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</si>
  <si>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</si>
  <si>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</si>
  <si>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</si>
  <si>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</si>
  <si>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</si>
  <si>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</si>
  <si>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</si>
  <si>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</si>
  <si>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</si>
  <si>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</si>
  <si>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</si>
  <si>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</si>
  <si>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</si>
  <si>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</si>
  <si>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</si>
  <si>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</si>
  <si>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</si>
  <si>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</si>
  <si>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</si>
  <si>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</si>
  <si>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</si>
  <si>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</si>
  <si>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</si>
  <si>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</si>
  <si>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</si>
  <si>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</si>
  <si>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</si>
  <si>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</si>
  <si>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</si>
  <si>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</si>
  <si>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</si>
  <si>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</si>
  <si>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</si>
  <si>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</si>
  <si>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</si>
  <si>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</si>
  <si>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</si>
  <si>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</si>
  <si>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</si>
  <si>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</si>
  <si>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</si>
  <si>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</si>
  <si>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</si>
  <si>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</si>
  <si>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</si>
  <si>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</si>
  <si>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</si>
  <si>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</si>
  <si>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</si>
  <si>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</si>
  <si>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</si>
  <si>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</si>
  <si>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</si>
  <si>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</si>
  <si>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</si>
  <si>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</si>
  <si>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</si>
  <si>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</si>
  <si>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</si>
  <si>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</si>
  <si>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</si>
  <si>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</si>
  <si>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</si>
  <si>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</si>
  <si>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</si>
  <si>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</si>
  <si>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</si>
  <si>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</si>
  <si>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</si>
  <si>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</si>
  <si>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</si>
  <si>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</si>
  <si>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</si>
  <si>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</si>
  <si>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</si>
  <si>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</si>
  <si>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</si>
  <si>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</si>
  <si>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</si>
  <si>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</si>
  <si>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</si>
  <si>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</si>
  <si>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</si>
  <si>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</si>
  <si>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</si>
  <si>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</si>
  <si>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</si>
  <si>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</si>
  <si>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</si>
  <si>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</si>
  <si>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</si>
  <si>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</si>
  <si>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</si>
  <si>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</si>
  <si>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</si>
  <si>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</si>
  <si>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</si>
  <si>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</si>
  <si>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</si>
  <si>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</si>
  <si>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</si>
  <si>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</si>
  <si>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</si>
  <si>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</si>
  <si>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</si>
  <si>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</si>
  <si>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</si>
  <si>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</si>
  <si>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</si>
  <si>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</si>
  <si>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</si>
  <si>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</si>
  <si>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</si>
  <si>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</si>
  <si>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</si>
  <si>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</si>
  <si>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</si>
  <si>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</si>
  <si>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</si>
  <si>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</si>
  <si>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</si>
  <si>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</si>
  <si>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</si>
  <si>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</si>
  <si>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</si>
  <si>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</si>
  <si>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</si>
  <si>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</si>
  <si>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</si>
  <si>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</si>
  <si>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</si>
  <si>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</si>
  <si>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</si>
  <si>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</si>
  <si>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</si>
  <si>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</si>
  <si>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</si>
  <si>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</si>
  <si>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</si>
  <si>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</si>
  <si>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</si>
  <si>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</si>
  <si>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</si>
  <si>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</si>
  <si>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</si>
  <si>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</si>
  <si>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</si>
  <si>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</si>
  <si>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</si>
  <si>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</si>
  <si>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</si>
  <si>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</si>
  <si>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</si>
  <si>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</si>
  <si>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</si>
  <si>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</si>
  <si>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</si>
  <si>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</si>
  <si>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</si>
  <si>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</si>
  <si>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</si>
  <si>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</si>
  <si>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</si>
  <si>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</si>
  <si>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</si>
  <si>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</si>
  <si>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</si>
  <si>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</si>
  <si>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</si>
  <si>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</si>
  <si>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</si>
  <si>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</si>
  <si>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</si>
  <si>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</si>
  <si>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</si>
  <si>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</si>
  <si>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</si>
  <si>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</si>
  <si>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</si>
  <si>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</si>
  <si>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</si>
  <si>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</si>
  <si>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</si>
  <si>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</si>
  <si>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</si>
  <si>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</si>
  <si>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</si>
  <si>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</si>
  <si>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</si>
  <si>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</si>
  <si>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</si>
  <si>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</si>
  <si>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</si>
  <si>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</si>
  <si>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</si>
  <si>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</si>
  <si>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Discount category</t>
  </si>
  <si>
    <t>Rating Category</t>
  </si>
  <si>
    <t>Price Category</t>
  </si>
  <si>
    <t>Old price</t>
  </si>
  <si>
    <t>Descriptive statistics</t>
  </si>
  <si>
    <t>Average current price of products</t>
  </si>
  <si>
    <t>Average old price of products</t>
  </si>
  <si>
    <t>Average discount percentage</t>
  </si>
  <si>
    <t>Discount Price</t>
  </si>
  <si>
    <t>Average product rating</t>
  </si>
  <si>
    <t>Home Decor Chair Cover-Grey</t>
  </si>
  <si>
    <t>1/2/3 Seater Elastic Sofa Cover,Living Room</t>
  </si>
  <si>
    <t>Total number of products</t>
  </si>
  <si>
    <t>Total number of reviews</t>
  </si>
  <si>
    <t>Most expensive product</t>
  </si>
  <si>
    <t>Least expensive product</t>
  </si>
  <si>
    <t>Trend Analysis</t>
  </si>
  <si>
    <t>Does a higher discount percentage result in more customer reviews?</t>
  </si>
  <si>
    <t>Do highly rated products receive more customer reviews?</t>
  </si>
  <si>
    <t>Are expensive products rated higher than cheaper products?</t>
  </si>
  <si>
    <t>Identify the top 5 products  with the highest rankings.</t>
  </si>
  <si>
    <t>Identify the top 5 products with the lowest ratings .</t>
  </si>
  <si>
    <t>A positive relationship</t>
  </si>
  <si>
    <t>No relatioship</t>
  </si>
  <si>
    <t xml:space="preserve">MEDIAN </t>
  </si>
  <si>
    <t>Expensive products have a higher average rating than cheaper products</t>
  </si>
  <si>
    <t>Average rating for products above median(expensive product average)</t>
  </si>
  <si>
    <t>average rating for products below median(Cheaper product)</t>
  </si>
  <si>
    <t>Average of Discount Price</t>
  </si>
  <si>
    <t>Row Labels</t>
  </si>
  <si>
    <t>AVERAGE</t>
  </si>
  <si>
    <t>EXCELLENT</t>
  </si>
  <si>
    <t>NOT PROVIDED</t>
  </si>
  <si>
    <t>POOR</t>
  </si>
  <si>
    <t>Grand Total</t>
  </si>
  <si>
    <t>Count of Product</t>
  </si>
  <si>
    <t>HIGH DISCOUNT</t>
  </si>
  <si>
    <t>LOW DISCOUNT</t>
  </si>
  <si>
    <t>MEDIUM DISCOUNT</t>
  </si>
  <si>
    <t>Sum of Ratingd</t>
  </si>
  <si>
    <t>Average of Ratingd</t>
  </si>
  <si>
    <t>Sum of Review</t>
  </si>
  <si>
    <t>Average of Review</t>
  </si>
  <si>
    <t>Average of Discount</t>
  </si>
  <si>
    <t>HIGH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</si>
</sst>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KES]\ #,##0.00"/>
    <numFmt numFmtId="165"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rgb="FF00B050"/>
      <name val="Calibri"/>
      <family val="2"/>
      <scheme val="minor"/>
    </font>
    <font>
      <b/>
      <sz val="14"/>
      <color theme="1"/>
      <name val="Calibri"/>
      <family val="2"/>
      <scheme val="minor"/>
    </font>
    <font>
      <b/>
      <sz val="11"/>
      <color theme="9" tint="-0.249977111117893"/>
      <name val="Calibri"/>
      <family val="2"/>
      <scheme val="minor"/>
    </font>
    <font>
      <b/>
      <sz val="1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9" fontId="0" fillId="0" borderId="0" xfId="0" applyNumberFormat="1"/>
    <xf numFmtId="2" fontId="0" fillId="0" borderId="0" xfId="0" applyNumberFormat="1"/>
    <xf numFmtId="164" fontId="0" fillId="0" borderId="0" xfId="0" applyNumberFormat="1"/>
    <xf numFmtId="165" fontId="0" fillId="0" borderId="0" xfId="0" applyNumberFormat="1"/>
    <xf numFmtId="0" fontId="18" fillId="0" borderId="0" xfId="0" applyFont="1"/>
    <xf numFmtId="0" fontId="18" fillId="0" borderId="10" xfId="0" applyFont="1" applyBorder="1"/>
    <xf numFmtId="164" fontId="18" fillId="0" borderId="10" xfId="0" applyNumberFormat="1" applyFont="1" applyBorder="1"/>
    <xf numFmtId="9" fontId="18" fillId="0" borderId="10" xfId="0" applyNumberFormat="1" applyFont="1" applyBorder="1"/>
    <xf numFmtId="165" fontId="18" fillId="0" borderId="10" xfId="0" applyNumberFormat="1" applyFont="1" applyBorder="1"/>
    <xf numFmtId="0" fontId="0" fillId="0" borderId="10" xfId="0" applyBorder="1"/>
    <xf numFmtId="164" fontId="0" fillId="0" borderId="10" xfId="0" applyNumberFormat="1" applyBorder="1"/>
    <xf numFmtId="9" fontId="0" fillId="0" borderId="10" xfId="0" applyNumberFormat="1" applyBorder="1"/>
    <xf numFmtId="165" fontId="0" fillId="0" borderId="10" xfId="0" applyNumberFormat="1" applyBorder="1"/>
    <xf numFmtId="0" fontId="16" fillId="0" borderId="0" xfId="0" applyFont="1"/>
    <xf numFmtId="0" fontId="19" fillId="0" borderId="0" xfId="0" applyFont="1"/>
    <xf numFmtId="0" fontId="0" fillId="0" borderId="0" xfId="0" applyAlignment="1">
      <alignment horizontal="left"/>
    </xf>
    <xf numFmtId="9" fontId="0" fillId="0" borderId="0" xfId="0" applyNumberFormat="1" applyAlignment="1">
      <alignment horizontal="left"/>
    </xf>
    <xf numFmtId="0" fontId="0" fillId="0" borderId="0" xfId="0" applyAlignment="1">
      <alignment wrapText="1"/>
    </xf>
    <xf numFmtId="0" fontId="20" fillId="0" borderId="0" xfId="0" applyFont="1"/>
    <xf numFmtId="0" fontId="18" fillId="0" borderId="11" xfId="0" applyFont="1" applyBorder="1"/>
    <xf numFmtId="0" fontId="0" fillId="0" borderId="11" xfId="0" applyBorder="1"/>
    <xf numFmtId="0" fontId="0" fillId="0" borderId="0" xfId="0" pivotButton="1"/>
    <xf numFmtId="164" fontId="21" fillId="33" borderId="0" xfId="0" applyNumberFormat="1" applyFont="1" applyFill="1"/>
    <xf numFmtId="9" fontId="21" fillId="33" borderId="0" xfId="0" applyNumberFormat="1" applyFont="1" applyFill="1"/>
    <xf numFmtId="0" fontId="21" fillId="33" borderId="0" xfId="0" applyFont="1" applyFill="1"/>
    <xf numFmtId="165" fontId="21" fillId="33" borderId="0" xfId="0" applyNumberFormat="1" applyFont="1" applyFill="1"/>
    <xf numFmtId="164" fontId="17" fillId="33" borderId="0" xfId="0" applyNumberFormat="1" applyFont="1" applyFill="1"/>
    <xf numFmtId="9" fontId="17" fillId="33" borderId="0" xfId="0" applyNumberFormat="1" applyFont="1" applyFill="1"/>
    <xf numFmtId="165" fontId="17" fillId="33" borderId="0" xfId="0" applyNumberFormat="1" applyFont="1" applyFill="1"/>
    <xf numFmtId="0" fontId="17" fillId="33" borderId="0" xfId="0" applyFont="1" applyFill="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numFmt numFmtId="164" formatCode="[$KES]\ #,##0.00"/>
      <border diagonalUp="0" diagonalDown="0">
        <left style="thin">
          <color indexed="64"/>
        </left>
        <right style="thin">
          <color indexed="64"/>
        </right>
        <top style="thin">
          <color indexed="64"/>
        </top>
        <bottom style="thin">
          <color indexed="64"/>
        </bottom>
        <vertical/>
        <horizontal/>
      </border>
    </dxf>
    <dxf>
      <numFmt numFmtId="164" formatCode="[$KES]\ #,##0.00"/>
      <border diagonalUp="0" diagonalDown="0">
        <left style="thin">
          <color indexed="64"/>
        </left>
        <right style="thin">
          <color indexed="64"/>
        </right>
        <top style="thin">
          <color indexed="64"/>
        </top>
        <bottom style="thin">
          <color indexed="64"/>
        </bottom>
        <vertical/>
        <horizontal/>
      </border>
    </dxf>
    <dxf>
      <numFmt numFmtId="164" formatCode="[$KES]\ #,##0.00"/>
      <border diagonalUp="0" diagonalDown="0">
        <left style="thin">
          <color indexed="64"/>
        </left>
        <right style="thin">
          <color indexed="64"/>
        </right>
        <top style="thin">
          <color indexed="64"/>
        </top>
        <bottom style="thin">
          <color indexed="64"/>
        </bottom>
        <vertical/>
        <horizontal/>
      </border>
    </dxf>
    <dxf>
      <border outline="0">
        <right style="thin">
          <color indexed="64"/>
        </right>
      </border>
    </dxf>
    <dxf>
      <font>
        <b/>
        <i val="0"/>
        <strike val="0"/>
        <condense val="0"/>
        <extend val="0"/>
        <outline val="0"/>
        <shadow val="0"/>
        <u val="none"/>
        <vertAlign val="baseline"/>
        <sz val="14"/>
        <color rgb="FF00B050"/>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Top</a:t>
            </a:r>
            <a:r>
              <a:rPr lang="en-US" b="1" baseline="0">
                <a:solidFill>
                  <a:schemeClr val="accent6"/>
                </a:solidFill>
              </a:rPr>
              <a:t> 10 products by Discount</a:t>
            </a:r>
            <a:endParaRPr lang="en-US" b="1">
              <a:solidFill>
                <a:schemeClr val="accent6"/>
              </a:solidFill>
            </a:endParaRPr>
          </a:p>
        </c:rich>
      </c:tx>
      <c:layout>
        <c:manualLayout>
          <c:xMode val="edge"/>
          <c:yMode val="edge"/>
          <c:x val="0.2642012248468941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 10 RATING BY DISCOUNT '!$E$1</c:f>
              <c:strCache>
                <c:ptCount val="1"/>
                <c:pt idx="0">
                  <c:v>Discount</c:v>
                </c:pt>
              </c:strCache>
            </c:strRef>
          </c:tx>
          <c:spPr>
            <a:solidFill>
              <a:schemeClr val="accent1"/>
            </a:solidFill>
            <a:ln>
              <a:noFill/>
            </a:ln>
            <a:effectLst/>
          </c:spPr>
          <c:invertIfNegative val="0"/>
          <c:cat>
            <c:strRef>
              <c:f>'TOP 10 RATING BY DISCOUNT '!$A$2:$A$116</c:f>
              <c:strCache>
                <c:ptCount val="11"/>
                <c:pt idx="0">
                  <c:v>Classic Black Cat Cotton Hemp Pillow Case For Home Car</c:v>
                </c:pt>
                <c:pt idx="1">
                  <c:v>LASA FOLDING TABLE SERVING STAND</c:v>
                </c:pt>
                <c:pt idx="2">
                  <c:v>LASA 3 Tier Bamboo Shoe Bench Storage Shelf</c:v>
                </c:pt>
                <c:pt idx="3">
                  <c:v>Exfoliate And Exfoliate Face Towel - Black</c:v>
                </c:pt>
                <c:pt idx="4">
                  <c:v>3PCS Single Head Knitting Crochet Sweater Needle Set</c:v>
                </c:pt>
                <c:pt idx="5">
                  <c:v>Mythco 120COB Solar Wall Ligt With Motion Sensor And Remote Control 3 Modes</c:v>
                </c:pt>
                <c:pt idx="6">
                  <c:v>Intelligent  LED Body Sensor Wireless Lighting Night Light USB</c:v>
                </c:pt>
                <c:pt idx="7">
                  <c:v>5-PCS Stainless Steel Cooking Pot Set With Steamed Slices</c:v>
                </c:pt>
                <c:pt idx="8">
                  <c:v>Creative Owl Shape Keychain Black</c:v>
                </c:pt>
                <c:pt idx="9">
                  <c:v>Simple Metal Dog Art Sculpture Decoration For Home Office</c:v>
                </c:pt>
                <c:pt idx="10">
                  <c:v>6 In 1 Bottle Can Opener Multifunctional Easy Opener</c:v>
                </c:pt>
              </c:strCache>
            </c:strRef>
          </c:cat>
          <c:val>
            <c:numRef>
              <c:f>'TOP 10 RATING BY DISCOUNT '!$E$2:$E$116</c:f>
              <c:numCache>
                <c:formatCode>0%</c:formatCode>
                <c:ptCount val="11"/>
                <c:pt idx="0">
                  <c:v>0.53</c:v>
                </c:pt>
                <c:pt idx="1">
                  <c:v>0.55000000000000004</c:v>
                </c:pt>
                <c:pt idx="2">
                  <c:v>0.54</c:v>
                </c:pt>
                <c:pt idx="3">
                  <c:v>0.52</c:v>
                </c:pt>
                <c:pt idx="4">
                  <c:v>0.53</c:v>
                </c:pt>
                <c:pt idx="5">
                  <c:v>0.54</c:v>
                </c:pt>
                <c:pt idx="6">
                  <c:v>0.52</c:v>
                </c:pt>
                <c:pt idx="7">
                  <c:v>0.55000000000000004</c:v>
                </c:pt>
                <c:pt idx="8">
                  <c:v>0.61</c:v>
                </c:pt>
                <c:pt idx="9">
                  <c:v>0.55000000000000004</c:v>
                </c:pt>
                <c:pt idx="10">
                  <c:v>0.64</c:v>
                </c:pt>
              </c:numCache>
            </c:numRef>
          </c:val>
          <c:extLst>
            <c:ext xmlns:c16="http://schemas.microsoft.com/office/drawing/2014/chart" uri="{C3380CC4-5D6E-409C-BE32-E72D297353CC}">
              <c16:uniqueId val="{00000000-1644-422D-8E3C-22D12E69A50A}"/>
            </c:ext>
          </c:extLst>
        </c:ser>
        <c:dLbls>
          <c:showLegendKey val="0"/>
          <c:showVal val="0"/>
          <c:showCatName val="0"/>
          <c:showSerName val="0"/>
          <c:showPercent val="0"/>
          <c:showBubbleSize val="0"/>
        </c:dLbls>
        <c:gapWidth val="182"/>
        <c:axId val="632211568"/>
        <c:axId val="139535728"/>
      </c:barChart>
      <c:catAx>
        <c:axId val="6322115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a:t>
                </a:r>
                <a:r>
                  <a:rPr lang="en-US" b="1" baseline="0"/>
                  <a:t> name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35728"/>
        <c:crosses val="autoZero"/>
        <c:auto val="1"/>
        <c:lblAlgn val="ctr"/>
        <c:lblOffset val="100"/>
        <c:noMultiLvlLbl val="0"/>
      </c:catAx>
      <c:valAx>
        <c:axId val="1395357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Discount</a:t>
                </a:r>
                <a:r>
                  <a:rPr lang="en-US" b="1" baseline="0"/>
                  <a:t> percentage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21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by number of reviews</a:t>
            </a:r>
            <a:endParaRPr lang="en-US" b="1"/>
          </a:p>
        </c:rich>
      </c:tx>
      <c:layout>
        <c:manualLayout>
          <c:xMode val="edge"/>
          <c:yMode val="edge"/>
          <c:x val="0.2637707786526684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'TOP 10 BY NUMBER OF REVIEWS'!$G$1</c:f>
              <c:strCache>
                <c:ptCount val="1"/>
                <c:pt idx="0">
                  <c:v>Review</c:v>
                </c:pt>
              </c:strCache>
            </c:strRef>
          </c:tx>
          <c:spPr>
            <a:solidFill>
              <a:schemeClr val="accent1"/>
            </a:solidFill>
            <a:ln>
              <a:noFill/>
            </a:ln>
            <a:effectLst/>
          </c:spPr>
          <c:invertIfNegative val="0"/>
          <c:cat>
            <c:strRef>
              <c:f>'TOP 10 BY NUMBER OF REVIEWS'!$A$2:$A$115</c:f>
              <c:strCache>
                <c:ptCount val="10"/>
                <c:pt idx="0">
                  <c:v>Portable Mini Cordless Car Vacuum Cleaner - Blue</c:v>
                </c:pt>
                <c:pt idx="1">
                  <c:v>137 Pieces Cake Decorating Tool Set Baking Supplies</c:v>
                </c:pt>
                <c:pt idx="2">
                  <c:v>100 Pcs Crochet Hook Tool Set Knitting Hook Set With Box</c:v>
                </c:pt>
                <c:pt idx="3">
                  <c:v>3D Waterproof EVA Plastic Shower Curtain 1.8*2Mtrs</c:v>
                </c:pt>
                <c:pt idx="4">
                  <c:v>Electronic Digital Display Vernier Caliper</c:v>
                </c:pt>
                <c:pt idx="5">
                  <c:v>52 Pieces Cake Decorating Tool Set Gift Kit Baking Supplies</c:v>
                </c:pt>
                <c:pt idx="6">
                  <c:v>53Pcs/Set Yarn Knitting Crochet Hooks With Bag - Fortune Cat</c:v>
                </c:pt>
                <c:pt idx="7">
                  <c:v>53 Pieces/Set Yarn Knitting Crochet Hooks With Bag - Pansies</c:v>
                </c:pt>
                <c:pt idx="8">
                  <c:v>Punch-free Great Load Bearing Bathroom Storage Rack Wall Shelf-White</c:v>
                </c:pt>
                <c:pt idx="9">
                  <c:v>120W Cordless Vacuum Cleaners Handheld Electric Vacuum Cleaner</c:v>
                </c:pt>
              </c:strCache>
            </c:strRef>
          </c:cat>
          <c:val>
            <c:numRef>
              <c:f>'TOP 10 BY NUMBER OF REVIEWS'!$G$2:$G$115</c:f>
              <c:numCache>
                <c:formatCode>General</c:formatCode>
                <c:ptCount val="10"/>
                <c:pt idx="0">
                  <c:v>24</c:v>
                </c:pt>
                <c:pt idx="1">
                  <c:v>55</c:v>
                </c:pt>
                <c:pt idx="2">
                  <c:v>39</c:v>
                </c:pt>
                <c:pt idx="3">
                  <c:v>44</c:v>
                </c:pt>
                <c:pt idx="4">
                  <c:v>49</c:v>
                </c:pt>
                <c:pt idx="5">
                  <c:v>20</c:v>
                </c:pt>
                <c:pt idx="6">
                  <c:v>20</c:v>
                </c:pt>
                <c:pt idx="7">
                  <c:v>32</c:v>
                </c:pt>
                <c:pt idx="8">
                  <c:v>36</c:v>
                </c:pt>
                <c:pt idx="9">
                  <c:v>69</c:v>
                </c:pt>
              </c:numCache>
            </c:numRef>
          </c:val>
          <c:extLst>
            <c:ext xmlns:c16="http://schemas.microsoft.com/office/drawing/2014/chart" uri="{C3380CC4-5D6E-409C-BE32-E72D297353CC}">
              <c16:uniqueId val="{00000000-DF81-41DA-AB83-4DF6A8D5923D}"/>
            </c:ext>
          </c:extLst>
        </c:ser>
        <c:dLbls>
          <c:showLegendKey val="0"/>
          <c:showVal val="0"/>
          <c:showCatName val="0"/>
          <c:showSerName val="0"/>
          <c:showPercent val="0"/>
          <c:showBubbleSize val="0"/>
        </c:dLbls>
        <c:gapWidth val="150"/>
        <c:overlap val="100"/>
        <c:axId val="526156336"/>
        <c:axId val="691773936"/>
      </c:barChart>
      <c:catAx>
        <c:axId val="5261563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a:t>
                </a:r>
                <a:r>
                  <a:rPr lang="en-US" b="1" baseline="0"/>
                  <a:t> name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73936"/>
        <c:crosses val="autoZero"/>
        <c:auto val="1"/>
        <c:lblAlgn val="ctr"/>
        <c:lblOffset val="100"/>
        <c:noMultiLvlLbl val="0"/>
      </c:catAx>
      <c:valAx>
        <c:axId val="691773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No.</a:t>
                </a:r>
                <a:r>
                  <a:rPr lang="en-US" b="1" baseline="0"/>
                  <a:t> of reviews</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15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highest Ranked products</a:t>
            </a:r>
          </a:p>
          <a:p>
            <a:pPr>
              <a:defRPr/>
            </a:pPr>
            <a:endParaRPr lang="en-US"/>
          </a:p>
        </c:rich>
      </c:tx>
      <c:layout>
        <c:manualLayout>
          <c:xMode val="edge"/>
          <c:yMode val="edge"/>
          <c:x val="0.25376194578364847"/>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 10 HIGHEST RATED PRODUCTS'!$H$1</c:f>
              <c:strCache>
                <c:ptCount val="1"/>
                <c:pt idx="0">
                  <c:v>Ratingd</c:v>
                </c:pt>
              </c:strCache>
            </c:strRef>
          </c:tx>
          <c:spPr>
            <a:solidFill>
              <a:schemeClr val="accent1"/>
            </a:solidFill>
            <a:ln>
              <a:noFill/>
            </a:ln>
            <a:effectLst/>
          </c:spPr>
          <c:invertIfNegative val="0"/>
          <c:cat>
            <c:strRef>
              <c:f>'TOP 10 HIGHEST RATED PRODUCTS'!$A$2:$A$115</c:f>
              <c:strCache>
                <c:ptCount val="10"/>
                <c:pt idx="0">
                  <c:v>Portable Home Small Air Humidifier 3-Speed Fan - Green</c:v>
                </c:pt>
                <c:pt idx="1">
                  <c:v>LASA FOLDING TABLE SERVING STAND</c:v>
                </c:pt>
                <c:pt idx="2">
                  <c:v>40cm Gold DIY Acrylic Wall Sticker Clock</c:v>
                </c:pt>
                <c:pt idx="3">
                  <c:v>Anti-Skid Absorbent Insulation Coaster  For Home Office</c:v>
                </c:pt>
                <c:pt idx="4">
                  <c:v>Peacock  Throw Pillow Cushion Case For Home Car</c:v>
                </c:pt>
                <c:pt idx="5">
                  <c:v>LASA Aluminum Folding Truck Hand Cart - 68kg Max</c:v>
                </c:pt>
                <c:pt idx="6">
                  <c:v>DIY File Folder, Office Drawer File Holder, Pen Holder, Desktop Storage Rack</c:v>
                </c:pt>
                <c:pt idx="7">
                  <c:v>Classic Black Cat Cotton Hemp Pillow Case For Home Car</c:v>
                </c:pt>
                <c:pt idx="8">
                  <c:v>Bedroom Simple Floor Hanging Clothes Rack Single Pole Hat Rack - White</c:v>
                </c:pt>
                <c:pt idx="9">
                  <c:v>Konka Healty Electric Kettle, 24-hour Heat Preservation,1.5L,800W, White</c:v>
                </c:pt>
              </c:strCache>
            </c:strRef>
          </c:cat>
          <c:val>
            <c:numRef>
              <c:f>'TOP 10 HIGHEST RATED PRODUCTS'!$H$2:$H$115</c:f>
              <c:numCache>
                <c:formatCode>0.0</c:formatCode>
                <c:ptCount val="10"/>
                <c:pt idx="0">
                  <c:v>4.8</c:v>
                </c:pt>
                <c:pt idx="1">
                  <c:v>4.8</c:v>
                </c:pt>
                <c:pt idx="2">
                  <c:v>4.8</c:v>
                </c:pt>
                <c:pt idx="3">
                  <c:v>5</c:v>
                </c:pt>
                <c:pt idx="4">
                  <c:v>5</c:v>
                </c:pt>
                <c:pt idx="5">
                  <c:v>5</c:v>
                </c:pt>
                <c:pt idx="6">
                  <c:v>5</c:v>
                </c:pt>
                <c:pt idx="7">
                  <c:v>5</c:v>
                </c:pt>
                <c:pt idx="8">
                  <c:v>5</c:v>
                </c:pt>
                <c:pt idx="9">
                  <c:v>5</c:v>
                </c:pt>
              </c:numCache>
            </c:numRef>
          </c:val>
          <c:extLst>
            <c:ext xmlns:c16="http://schemas.microsoft.com/office/drawing/2014/chart" uri="{C3380CC4-5D6E-409C-BE32-E72D297353CC}">
              <c16:uniqueId val="{00000000-0E50-4917-95B2-58ABE1411775}"/>
            </c:ext>
          </c:extLst>
        </c:ser>
        <c:dLbls>
          <c:showLegendKey val="0"/>
          <c:showVal val="0"/>
          <c:showCatName val="0"/>
          <c:showSerName val="0"/>
          <c:showPercent val="0"/>
          <c:showBubbleSize val="0"/>
        </c:dLbls>
        <c:gapWidth val="182"/>
        <c:axId val="632226880"/>
        <c:axId val="691808976"/>
      </c:barChart>
      <c:catAx>
        <c:axId val="6322268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a:t>
                </a:r>
                <a:r>
                  <a:rPr lang="en-US" b="1" baseline="0"/>
                  <a:t> name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808976"/>
        <c:crosses val="autoZero"/>
        <c:auto val="1"/>
        <c:lblAlgn val="ctr"/>
        <c:lblOffset val="100"/>
        <c:noMultiLvlLbl val="0"/>
      </c:catAx>
      <c:valAx>
        <c:axId val="6918089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Ratings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22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lowest rated products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'TOP 5 LOWEST RATED PRODUCTS'!$H$1</c:f>
              <c:strCache>
                <c:ptCount val="1"/>
                <c:pt idx="0">
                  <c:v>Ratingd</c:v>
                </c:pt>
              </c:strCache>
            </c:strRef>
          </c:tx>
          <c:spPr>
            <a:solidFill>
              <a:schemeClr val="accent1"/>
            </a:solidFill>
            <a:ln>
              <a:noFill/>
            </a:ln>
            <a:effectLst/>
            <a:sp3d/>
          </c:spPr>
          <c:invertIfNegative val="0"/>
          <c:cat>
            <c:strRef>
              <c:f>'TOP 5 LOWEST RATED PRODUCTS'!$A$2:$A$116</c:f>
              <c:strCache>
                <c:ptCount val="10"/>
                <c:pt idx="0">
                  <c:v>Wall-mounted Sticker Punch-free Plug Fixer</c:v>
                </c:pt>
                <c:pt idx="1">
                  <c:v>Electric LED UV Mosquito Killer Lamp, Outdoor/Indoor Fly Killer Trap Light -USB</c:v>
                </c:pt>
                <c:pt idx="2">
                  <c:v>5-PCS Stainless Steel Cooking Pot Set With Steamed Slices</c:v>
                </c:pt>
                <c:pt idx="3">
                  <c:v>Artificial Potted Flowers Room Decorative Flowers (2 Pieces)</c:v>
                </c:pt>
                <c:pt idx="4">
                  <c:v>7-piece Set Of Storage Bags, Travel Storage Bags, Shoe Bags</c:v>
                </c:pt>
                <c:pt idx="5">
                  <c:v>Watercolour Gold Foil Textured Print Pillow Cover</c:v>
                </c:pt>
                <c:pt idx="6">
                  <c:v>380ML USB Rechargeable Portable Small Blenders And Juicers</c:v>
                </c:pt>
                <c:pt idx="7">
                  <c:v>5 Pieces/set Of Stainless Steel Induction Cooker Pots</c:v>
                </c:pt>
                <c:pt idx="8">
                  <c:v>Agapeon Toothbrush Holder And Toothpaste Dispenser</c:v>
                </c:pt>
                <c:pt idx="9">
                  <c:v>Intelligent  LED Body Sensor Wireless Lighting Night Light USB</c:v>
                </c:pt>
              </c:strCache>
            </c:strRef>
          </c:cat>
          <c:val>
            <c:numRef>
              <c:f>'TOP 5 LOWEST RATED PRODUCTS'!$H$2:$H$116</c:f>
              <c:numCache>
                <c:formatCode>0.0</c:formatCode>
                <c:ptCount val="10"/>
                <c:pt idx="0">
                  <c:v>2</c:v>
                </c:pt>
                <c:pt idx="1">
                  <c:v>2.1</c:v>
                </c:pt>
                <c:pt idx="2">
                  <c:v>2.1</c:v>
                </c:pt>
                <c:pt idx="3">
                  <c:v>2.2000000000000002</c:v>
                </c:pt>
                <c:pt idx="4">
                  <c:v>2.2000000000000002</c:v>
                </c:pt>
                <c:pt idx="5">
                  <c:v>2.2999999999999998</c:v>
                </c:pt>
                <c:pt idx="6">
                  <c:v>2.2999999999999998</c:v>
                </c:pt>
                <c:pt idx="7">
                  <c:v>2.5</c:v>
                </c:pt>
                <c:pt idx="8">
                  <c:v>2.6</c:v>
                </c:pt>
                <c:pt idx="9">
                  <c:v>2.7</c:v>
                </c:pt>
              </c:numCache>
            </c:numRef>
          </c:val>
          <c:extLst>
            <c:ext xmlns:c16="http://schemas.microsoft.com/office/drawing/2014/chart" uri="{C3380CC4-5D6E-409C-BE32-E72D297353CC}">
              <c16:uniqueId val="{00000000-2F2E-4AC2-BC16-C3EA189A11E3}"/>
            </c:ext>
          </c:extLst>
        </c:ser>
        <c:dLbls>
          <c:showLegendKey val="0"/>
          <c:showVal val="0"/>
          <c:showCatName val="0"/>
          <c:showSerName val="0"/>
          <c:showPercent val="0"/>
          <c:showBubbleSize val="0"/>
        </c:dLbls>
        <c:gapWidth val="150"/>
        <c:shape val="box"/>
        <c:axId val="634654960"/>
        <c:axId val="691738896"/>
        <c:axId val="0"/>
      </c:bar3DChart>
      <c:catAx>
        <c:axId val="634654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a:t>
                </a:r>
                <a:r>
                  <a:rPr lang="en-US" b="1" baseline="0"/>
                  <a:t> name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38896"/>
        <c:crosses val="autoZero"/>
        <c:auto val="1"/>
        <c:lblAlgn val="ctr"/>
        <c:lblOffset val="100"/>
        <c:noMultiLvlLbl val="0"/>
      </c:catAx>
      <c:valAx>
        <c:axId val="69173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Ratings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65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High</a:t>
            </a:r>
            <a:r>
              <a:rPr lang="en-US" b="1" baseline="0"/>
              <a:t> discount by low rating products</a:t>
            </a:r>
            <a:endParaRPr lang="en-US" b="1"/>
          </a:p>
        </c:rich>
      </c:tx>
      <c:layout>
        <c:manualLayout>
          <c:xMode val="edge"/>
          <c:yMode val="edge"/>
          <c:x val="0.1994860017497812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'HIGH RATING +LOW DISCOUNT PRODU'!$D$1</c:f>
              <c:strCache>
                <c:ptCount val="1"/>
                <c:pt idx="0">
                  <c:v>Discount Price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'HIGH RATING +LOW DISCOUNT PRODU'!$A$2:$A$116</c:f>
              <c:strCache>
                <c:ptCount val="10"/>
                <c:pt idx="0">
                  <c:v>5-PCS Stainless Steel Cooking Pot Set With Steamed Slices</c:v>
                </c:pt>
                <c:pt idx="1">
                  <c:v>LASA 3 Tier Bamboo Shoe Bench Storage Shelf</c:v>
                </c:pt>
                <c:pt idx="2">
                  <c:v>32PCS Portable Cordless Drill Set With Cyclic Battery Drive -26 Variable Speed</c:v>
                </c:pt>
                <c:pt idx="3">
                  <c:v>LASA Aluminum Folding Truck Hand Cart - 68kg Max</c:v>
                </c:pt>
                <c:pt idx="4">
                  <c:v>MultiFunctional Storage Rack Multi-layer Bookshelf</c:v>
                </c:pt>
                <c:pt idx="5">
                  <c:v>LASA Stainless Steel Double Wall Mount Soap Dispenser - 500ml</c:v>
                </c:pt>
                <c:pt idx="6">
                  <c:v>LED Eye Protection  Desk Lamp , Study, Reading, USB Fan - Double Pen Holder</c:v>
                </c:pt>
                <c:pt idx="7">
                  <c:v>LASA FOLDING TABLE SERVING STAND</c:v>
                </c:pt>
                <c:pt idx="8">
                  <c:v>Electric LED UV Mosquito Killer Lamp, Outdoor/Indoor Fly Killer Trap Light -USB</c:v>
                </c:pt>
                <c:pt idx="9">
                  <c:v>4pcs Bathroom/Kitchen Towel Rack,Roll Paper Holder,Towel Bars,Hook</c:v>
                </c:pt>
              </c:strCache>
            </c:strRef>
          </c:xVal>
          <c:yVal>
            <c:numRef>
              <c:f>'HIGH RATING +LOW DISCOUNT PRODU'!$D$2:$D$116</c:f>
              <c:numCache>
                <c:formatCode>[$KES]\ #,##0.00</c:formatCode>
                <c:ptCount val="11"/>
                <c:pt idx="0">
                  <c:v>2585</c:v>
                </c:pt>
                <c:pt idx="1">
                  <c:v>2452</c:v>
                </c:pt>
                <c:pt idx="2">
                  <c:v>2393</c:v>
                </c:pt>
                <c:pt idx="3">
                  <c:v>1946</c:v>
                </c:pt>
                <c:pt idx="4">
                  <c:v>1880</c:v>
                </c:pt>
                <c:pt idx="5">
                  <c:v>1721</c:v>
                </c:pt>
                <c:pt idx="6">
                  <c:v>1670</c:v>
                </c:pt>
                <c:pt idx="7">
                  <c:v>1526</c:v>
                </c:pt>
                <c:pt idx="8">
                  <c:v>1418</c:v>
                </c:pt>
                <c:pt idx="9">
                  <c:v>1360</c:v>
                </c:pt>
              </c:numCache>
            </c:numRef>
          </c:yVal>
          <c:smooth val="1"/>
          <c:extLst>
            <c:ext xmlns:c16="http://schemas.microsoft.com/office/drawing/2014/chart" uri="{C3380CC4-5D6E-409C-BE32-E72D297353CC}">
              <c16:uniqueId val="{00000000-8C3E-4B79-B02E-DB5FAD908E87}"/>
            </c:ext>
          </c:extLst>
        </c:ser>
        <c:dLbls>
          <c:showLegendKey val="0"/>
          <c:showVal val="0"/>
          <c:showCatName val="0"/>
          <c:showSerName val="0"/>
          <c:showPercent val="0"/>
          <c:showBubbleSize val="0"/>
        </c:dLbls>
        <c:axId val="689999152"/>
        <c:axId val="691785456"/>
      </c:scatterChart>
      <c:valAx>
        <c:axId val="6899991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Low Ratings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85456"/>
        <c:crosses val="autoZero"/>
        <c:crossBetween val="midCat"/>
      </c:valAx>
      <c:valAx>
        <c:axId val="691785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Discount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KES]\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991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Rating</a:t>
            </a:r>
            <a:r>
              <a:rPr lang="en-US" b="1" baseline="0"/>
              <a:t> by Number of reviews</a:t>
            </a:r>
            <a:endParaRPr lang="en-US" b="1"/>
          </a:p>
        </c:rich>
      </c:tx>
      <c:layout>
        <c:manualLayout>
          <c:xMode val="edge"/>
          <c:yMode val="edge"/>
          <c:x val="0.4288193350831145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'TREND ANALYSIS'!$H$1</c:f>
              <c:strCache>
                <c:ptCount val="1"/>
                <c:pt idx="0">
                  <c:v>Ratingd</c:v>
                </c:pt>
              </c:strCache>
            </c:strRef>
          </c:tx>
          <c:spPr>
            <a:ln w="25400" cap="rnd">
              <a:noFill/>
              <a:round/>
            </a:ln>
            <a:effectLst/>
          </c:spPr>
          <c:marker>
            <c:symbol val="circle"/>
            <c:size val="5"/>
            <c:spPr>
              <a:solidFill>
                <a:schemeClr val="accent1"/>
              </a:solidFill>
              <a:ln w="9525">
                <a:solidFill>
                  <a:schemeClr val="accent1"/>
                </a:solidFill>
              </a:ln>
              <a:effectLst/>
            </c:spPr>
          </c:marker>
          <c:xVal>
            <c:numRef>
              <c:f>'TREND ANALYSIS'!$G$2:$G$115</c:f>
              <c:numCache>
                <c:formatCode>General</c:formatCode>
                <c:ptCount val="114"/>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60">
                  <c:v>6</c:v>
                </c:pt>
                <c:pt idx="61">
                  <c:v>10</c:v>
                </c:pt>
                <c:pt idx="62">
                  <c:v>13</c:v>
                </c:pt>
                <c:pt idx="63">
                  <c:v>69</c:v>
                </c:pt>
                <c:pt idx="64">
                  <c:v>15</c:v>
                </c:pt>
                <c:pt idx="65">
                  <c:v>16</c:v>
                </c:pt>
                <c:pt idx="66">
                  <c:v>6</c:v>
                </c:pt>
                <c:pt idx="67">
                  <c:v>7</c:v>
                </c:pt>
                <c:pt idx="68">
                  <c:v>5</c:v>
                </c:pt>
                <c:pt idx="69">
                  <c:v>17</c:v>
                </c:pt>
                <c:pt idx="70">
                  <c:v>5</c:v>
                </c:pt>
                <c:pt idx="71">
                  <c:v>6</c:v>
                </c:pt>
                <c:pt idx="72">
                  <c:v>5</c:v>
                </c:pt>
                <c:pt idx="73">
                  <c:v>6</c:v>
                </c:pt>
                <c:pt idx="74">
                  <c:v>7</c:v>
                </c:pt>
                <c:pt idx="79">
                  <c:v>1</c:v>
                </c:pt>
                <c:pt idx="80">
                  <c:v>1</c:v>
                </c:pt>
                <c:pt idx="83">
                  <c:v>1</c:v>
                </c:pt>
                <c:pt idx="102">
                  <c:v>1</c:v>
                </c:pt>
                <c:pt idx="111">
                  <c:v>1</c:v>
                </c:pt>
              </c:numCache>
            </c:numRef>
          </c:xVal>
          <c:yVal>
            <c:numRef>
              <c:f>'TREND ANALYSIS'!$H$2:$H$115</c:f>
              <c:numCache>
                <c:formatCode>0.0</c:formatCode>
                <c:ptCount val="114"/>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60">
                  <c:v>2.5</c:v>
                </c:pt>
                <c:pt idx="61">
                  <c:v>3</c:v>
                </c:pt>
                <c:pt idx="62">
                  <c:v>2.1</c:v>
                </c:pt>
                <c:pt idx="63">
                  <c:v>2.8</c:v>
                </c:pt>
                <c:pt idx="64">
                  <c:v>2.7</c:v>
                </c:pt>
                <c:pt idx="65">
                  <c:v>2.9</c:v>
                </c:pt>
                <c:pt idx="66">
                  <c:v>2.2000000000000002</c:v>
                </c:pt>
                <c:pt idx="67">
                  <c:v>2.2999999999999998</c:v>
                </c:pt>
                <c:pt idx="68">
                  <c:v>3</c:v>
                </c:pt>
                <c:pt idx="69">
                  <c:v>2.6</c:v>
                </c:pt>
                <c:pt idx="70">
                  <c:v>3</c:v>
                </c:pt>
                <c:pt idx="71">
                  <c:v>2.2999999999999998</c:v>
                </c:pt>
                <c:pt idx="72">
                  <c:v>3</c:v>
                </c:pt>
                <c:pt idx="73">
                  <c:v>2.2000000000000002</c:v>
                </c:pt>
                <c:pt idx="74">
                  <c:v>2.1</c:v>
                </c:pt>
                <c:pt idx="79">
                  <c:v>3</c:v>
                </c:pt>
                <c:pt idx="80">
                  <c:v>5</c:v>
                </c:pt>
                <c:pt idx="83">
                  <c:v>4</c:v>
                </c:pt>
                <c:pt idx="102">
                  <c:v>5</c:v>
                </c:pt>
                <c:pt idx="111">
                  <c:v>2</c:v>
                </c:pt>
              </c:numCache>
            </c:numRef>
          </c:yVal>
          <c:smooth val="0"/>
          <c:extLst>
            <c:ext xmlns:c16="http://schemas.microsoft.com/office/drawing/2014/chart" uri="{C3380CC4-5D6E-409C-BE32-E72D297353CC}">
              <c16:uniqueId val="{00000000-6F14-4703-925D-454ECFD8B4F6}"/>
            </c:ext>
          </c:extLst>
        </c:ser>
        <c:dLbls>
          <c:showLegendKey val="0"/>
          <c:showVal val="0"/>
          <c:showCatName val="0"/>
          <c:showSerName val="0"/>
          <c:showPercent val="0"/>
          <c:showBubbleSize val="0"/>
        </c:dLbls>
        <c:axId val="526163760"/>
        <c:axId val="691749936"/>
      </c:scatterChart>
      <c:valAx>
        <c:axId val="5261637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Number</a:t>
                </a:r>
                <a:r>
                  <a:rPr lang="en-US" b="1" baseline="0"/>
                  <a:t> of reviews</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49936"/>
        <c:crosses val="autoZero"/>
        <c:crossBetween val="midCat"/>
      </c:valAx>
      <c:valAx>
        <c:axId val="691749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1637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[Excel_jumia_dataset.csv.xlsx]SLICERS!PivotTable27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Ratings</a:t>
            </a:r>
            <a:r>
              <a:rPr lang="en-US" b="1" baseline="0">
                <a:solidFill>
                  <a:schemeClr val="accent6">
                    <a:lumMod val="50000"/>
                  </a:schemeClr>
                </a:solidFill>
              </a:rPr>
              <a:t> Category Discount</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SLICERS!$B$1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A1-4A96-A4A2-33D11103B0A0}"/>
              </c:ext>
            </c:extLst>
          </c:dPt>
          <c:cat>
            <c:strRef>
              <c:f>SLICERS!$A$2:$A$3</c:f>
              <c:strCache>
                <c:ptCount val="1"/>
                <c:pt idx="0">
                  <c:v>POOR</c:v>
                </c:pt>
              </c:strCache>
            </c:strRef>
          </c:cat>
          <c:val>
            <c:numRef>
              <c:f>SLICERS!$B$2:$B$3</c:f>
              <c:numCache>
                <c:formatCode>General</c:formatCode>
                <c:ptCount val="1"/>
                <c:pt idx="0">
                  <c:v>1</c:v>
                </c:pt>
              </c:numCache>
            </c:numRef>
          </c:val>
          <c:extLst>
            <c:ext xmlns:c16="http://schemas.microsoft.com/office/drawing/2014/chart" uri="{C3380CC4-5D6E-409C-BE32-E72D297353CC}">
              <c16:uniqueId val="{00000000-7803-4EFE-92E3-4688897708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[Excel_jumia_dataset.csv.xlsx]SLICERS!PivotTable1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Discount</a:t>
            </a:r>
            <a:r>
              <a:rPr lang="en-US" b="1" baseline="0">
                <a:solidFill>
                  <a:schemeClr val="accent6">
                    <a:lumMod val="50000"/>
                  </a:schemeClr>
                </a:solidFill>
              </a:rPr>
              <a:t> Category by Product count</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SLICERS!$B$10</c:f>
              <c:strCache>
                <c:ptCount val="1"/>
                <c:pt idx="0">
                  <c:v>Total</c:v>
                </c:pt>
              </c:strCache>
            </c:strRef>
          </c:tx>
          <c:spPr>
            <a:solidFill>
              <a:schemeClr val="accent1"/>
            </a:solidFill>
            <a:ln>
              <a:noFill/>
            </a:ln>
            <a:effectLst/>
          </c:spPr>
          <c:invertIfNegative val="0"/>
          <c:cat>
            <c:strRef>
              <c:f>SLICERS!$A$11:$A$12</c:f>
              <c:strCache>
                <c:ptCount val="1"/>
                <c:pt idx="0">
                  <c:v>LOW DISCOUNT</c:v>
                </c:pt>
              </c:strCache>
            </c:strRef>
          </c:cat>
          <c:val>
            <c:numRef>
              <c:f>SLICERS!$B$11:$B$12</c:f>
              <c:numCache>
                <c:formatCode>General</c:formatCode>
                <c:ptCount val="1"/>
                <c:pt idx="0">
                  <c:v>1</c:v>
                </c:pt>
              </c:numCache>
            </c:numRef>
          </c:val>
          <c:extLst>
            <c:ext xmlns:c16="http://schemas.microsoft.com/office/drawing/2014/chart" uri="{C3380CC4-5D6E-409C-BE32-E72D297353CC}">
              <c16:uniqueId val="{00000000-C823-4BB0-ACA3-00199E6D17DF}"/>
            </c:ext>
          </c:extLst>
        </c:ser>
        <c:dLbls>
          <c:showLegendKey val="0"/>
          <c:showVal val="0"/>
          <c:showCatName val="0"/>
          <c:showSerName val="0"/>
          <c:showPercent val="0"/>
          <c:showBubbleSize val="0"/>
        </c:dLbls>
        <c:gapWidth val="219"/>
        <c:overlap val="-27"/>
        <c:axId val="1667170511"/>
        <c:axId val="1661623631"/>
      </c:barChart>
      <c:catAx>
        <c:axId val="166717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623631"/>
        <c:crosses val="autoZero"/>
        <c:auto val="1"/>
        <c:lblAlgn val="ctr"/>
        <c:lblOffset val="100"/>
        <c:noMultiLvlLbl val="0"/>
      </c:catAx>
      <c:valAx>
        <c:axId val="166162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7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[Excel_jumia_dataset.csv.xlsx]SLICERS!PivotTable2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Price</a:t>
            </a:r>
            <a:r>
              <a:rPr lang="en-US" b="1" baseline="0">
                <a:solidFill>
                  <a:schemeClr val="accent6">
                    <a:lumMod val="50000"/>
                  </a:schemeClr>
                </a:solidFill>
              </a:rPr>
              <a:t> Vs Rating</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SLICERS!$B$21</c:f>
              <c:strCache>
                <c:ptCount val="1"/>
                <c:pt idx="0">
                  <c:v>Total</c:v>
                </c:pt>
              </c:strCache>
            </c:strRef>
          </c:tx>
          <c:spPr>
            <a:solidFill>
              <a:schemeClr val="accent1"/>
            </a:solidFill>
            <a:ln>
              <a:noFill/>
            </a:ln>
            <a:effectLst/>
          </c:spPr>
          <c:invertIfNegative val="0"/>
          <c:cat>
            <c:strRef>
              <c:f>SLICERS!$A$22:$A$23</c:f>
              <c:strCache>
                <c:ptCount val="1"/>
                <c:pt idx="0">
                  <c:v>HIGH PRICE</c:v>
                </c:pt>
              </c:strCache>
            </c:strRef>
          </c:cat>
          <c:val>
            <c:numRef>
              <c:f>SLICERS!$B$22:$B$23</c:f>
              <c:numCache>
                <c:formatCode>General</c:formatCode>
                <c:ptCount val="1"/>
                <c:pt idx="0">
                  <c:v>2.5</c:v>
                </c:pt>
              </c:numCache>
            </c:numRef>
          </c:val>
          <c:extLst>
            <c:ext xmlns:c16="http://schemas.microsoft.com/office/drawing/2014/chart" uri="{C3380CC4-5D6E-409C-BE32-E72D297353CC}">
              <c16:uniqueId val="{00000000-C334-457B-9FB6-E97F03966883}"/>
            </c:ext>
          </c:extLst>
        </c:ser>
        <c:dLbls>
          <c:showLegendKey val="0"/>
          <c:showVal val="0"/>
          <c:showCatName val="0"/>
          <c:showSerName val="0"/>
          <c:showPercent val="0"/>
          <c:showBubbleSize val="0"/>
        </c:dLbls>
        <c:gapWidth val="219"/>
        <c:overlap val="-27"/>
        <c:axId val="1769227775"/>
        <c:axId val="1661536751"/>
      </c:barChart>
      <c:catAx>
        <c:axId val="176922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r>
                  <a:rPr lang="en-US" baseline="0"/>
                  <a:t> category</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536751"/>
        <c:crosses val="autoZero"/>
        <c:auto val="1"/>
        <c:lblAlgn val="ctr"/>
        <c:lblOffset val="100"/>
        <c:noMultiLvlLbl val="0"/>
      </c:catAx>
      <c:valAx>
        <c:axId val="1661536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22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[Excel_jumia_dataset.csv.xlsx]SLICERS!PivotTable3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Engagement</a:t>
            </a:r>
            <a:r>
              <a:rPr lang="en-US" b="1" baseline="0">
                <a:solidFill>
                  <a:schemeClr val="accent6">
                    <a:lumMod val="50000"/>
                  </a:schemeClr>
                </a:solidFill>
              </a:rPr>
              <a:t> by Discount</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SLICERS!$B$32</c:f>
              <c:strCache>
                <c:ptCount val="1"/>
                <c:pt idx="0">
                  <c:v>Total</c:v>
                </c:pt>
              </c:strCache>
            </c:strRef>
          </c:tx>
          <c:spPr>
            <a:solidFill>
              <a:schemeClr val="accent1"/>
            </a:solidFill>
            <a:ln>
              <a:noFill/>
            </a:ln>
            <a:effectLst/>
            <a:sp3d/>
          </c:spPr>
          <c:invertIfNegative val="0"/>
          <c:cat>
            <c:strRef>
              <c:f>SLICERS!$A$33:$A$36</c:f>
              <c:strCache>
                <c:ptCount val="3"/>
                <c:pt idx="0">
                  <c:v>HIGH DISCOUNT</c:v>
                </c:pt>
                <c:pt idx="1">
                  <c:v>LOW DISCOUNT</c:v>
                </c:pt>
                <c:pt idx="2">
                  <c:v>MEDIUM DISCOUNT</c:v>
                </c:pt>
              </c:strCache>
            </c:strRef>
          </c:cat>
          <c:val>
            <c:numRef>
              <c:f>SLICERS!$B$33:$B$36</c:f>
              <c:numCache>
                <c:formatCode>General</c:formatCode>
                <c:ptCount val="3"/>
                <c:pt idx="0">
                  <c:v>10.806451612903226</c:v>
                </c:pt>
                <c:pt idx="1">
                  <c:v>9.5</c:v>
                </c:pt>
                <c:pt idx="2">
                  <c:v>15.909090909090908</c:v>
                </c:pt>
              </c:numCache>
            </c:numRef>
          </c:val>
          <c:extLst>
            <c:ext xmlns:c16="http://schemas.microsoft.com/office/drawing/2014/chart" uri="{C3380CC4-5D6E-409C-BE32-E72D297353CC}">
              <c16:uniqueId val="{00000000-3B8B-4920-A740-09B68DCBDA6B}"/>
            </c:ext>
          </c:extLst>
        </c:ser>
        <c:dLbls>
          <c:showLegendKey val="0"/>
          <c:showVal val="0"/>
          <c:showCatName val="0"/>
          <c:showSerName val="0"/>
          <c:showPercent val="0"/>
          <c:showBubbleSize val="0"/>
        </c:dLbls>
        <c:gapWidth val="150"/>
        <c:shape val="box"/>
        <c:axId val="1714251263"/>
        <c:axId val="1661607791"/>
        <c:axId val="1677664927"/>
      </c:bar3DChart>
      <c:catAx>
        <c:axId val="17142512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607791"/>
        <c:crosses val="autoZero"/>
        <c:auto val="1"/>
        <c:lblAlgn val="ctr"/>
        <c:lblOffset val="100"/>
        <c:noMultiLvlLbl val="0"/>
      </c:catAx>
      <c:valAx>
        <c:axId val="166160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51263"/>
        <c:crosses val="autoZero"/>
        <c:crossBetween val="between"/>
      </c:valAx>
      <c:serAx>
        <c:axId val="1677664927"/>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60779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[Excel_jumia_dataset.csv.xlsx]SLICERS!PivotTable4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Total 10</a:t>
            </a:r>
            <a:r>
              <a:rPr lang="en-US" b="1" baseline="0">
                <a:solidFill>
                  <a:schemeClr val="accent6">
                    <a:lumMod val="50000"/>
                  </a:schemeClr>
                </a:solidFill>
              </a:rPr>
              <a:t> Products by Rating</a:t>
            </a:r>
            <a:endParaRPr lang="en-US" b="1">
              <a:solidFill>
                <a:schemeClr val="accent6">
                  <a:lumMod val="50000"/>
                </a:schemeClr>
              </a:solidFill>
            </a:endParaRPr>
          </a:p>
        </c:rich>
      </c:tx>
      <c:layout>
        <c:manualLayout>
          <c:xMode val="edge"/>
          <c:yMode val="edge"/>
          <c:x val="0.30456140350877192"/>
          <c:y val="0.1158211312411163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SLICERS!$B$46</c:f>
              <c:strCache>
                <c:ptCount val="1"/>
                <c:pt idx="0">
                  <c:v>Total</c:v>
                </c:pt>
              </c:strCache>
            </c:strRef>
          </c:tx>
          <c:spPr>
            <a:solidFill>
              <a:schemeClr val="accent1"/>
            </a:solidFill>
            <a:ln>
              <a:noFill/>
            </a:ln>
            <a:effectLst/>
          </c:spPr>
          <c:invertIfNegative val="0"/>
          <c:cat>
            <c:strRef>
              <c:f>SLICERS!$A$47:$A$57</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SLICERS!$B$47:$B$57</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963B-4542-AEE0-87BB4D3805F9}"/>
            </c:ext>
          </c:extLst>
        </c:ser>
        <c:dLbls>
          <c:showLegendKey val="0"/>
          <c:showVal val="0"/>
          <c:showCatName val="0"/>
          <c:showSerName val="0"/>
          <c:showPercent val="0"/>
          <c:showBubbleSize val="0"/>
        </c:dLbls>
        <c:gapWidth val="150"/>
        <c:overlap val="100"/>
        <c:axId val="1721629823"/>
        <c:axId val="1661519471"/>
      </c:barChart>
      <c:catAx>
        <c:axId val="17216298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519471"/>
        <c:crosses val="autoZero"/>
        <c:auto val="1"/>
        <c:lblAlgn val="ctr"/>
        <c:lblOffset val="100"/>
        <c:noMultiLvlLbl val="0"/>
      </c:catAx>
      <c:valAx>
        <c:axId val="16615194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62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[Excel_jumia_dataset.csv.xlsx]SLICERS!PivotTable5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Top</a:t>
            </a:r>
            <a:r>
              <a:rPr lang="en-US" b="1" baseline="0">
                <a:solidFill>
                  <a:schemeClr val="accent6">
                    <a:lumMod val="50000"/>
                  </a:schemeClr>
                </a:solidFill>
              </a:rPr>
              <a:t> 10 Products by Review</a:t>
            </a:r>
            <a:endParaRPr lang="en-US" b="1">
              <a:solidFill>
                <a:schemeClr val="accent6">
                  <a:lumMod val="50000"/>
                </a:schemeClr>
              </a:solidFill>
            </a:endParaRPr>
          </a:p>
        </c:rich>
      </c:tx>
      <c:layout>
        <c:manualLayout>
          <c:xMode val="edge"/>
          <c:yMode val="edge"/>
          <c:x val="0.29375556316330026"/>
          <c:y val="0.1342683727034120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SLICERS!$C$62</c:f>
              <c:strCache>
                <c:ptCount val="1"/>
                <c:pt idx="0">
                  <c:v>Total</c:v>
                </c:pt>
              </c:strCache>
            </c:strRef>
          </c:tx>
          <c:spPr>
            <a:solidFill>
              <a:schemeClr val="accent1"/>
            </a:solidFill>
            <a:ln>
              <a:noFill/>
            </a:ln>
            <a:effectLst/>
          </c:spPr>
          <c:invertIfNegative val="0"/>
          <c:cat>
            <c:strRef>
              <c:f>SLICERS!$B$63:$B$73</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SLICERS!$C$63:$C$73</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E906-4A35-BE10-9CA9B572C02D}"/>
            </c:ext>
          </c:extLst>
        </c:ser>
        <c:dLbls>
          <c:showLegendKey val="0"/>
          <c:showVal val="0"/>
          <c:showCatName val="0"/>
          <c:showSerName val="0"/>
          <c:showPercent val="0"/>
          <c:showBubbleSize val="0"/>
        </c:dLbls>
        <c:gapWidth val="150"/>
        <c:overlap val="100"/>
        <c:axId val="1714283743"/>
        <c:axId val="1661595311"/>
      </c:barChart>
      <c:catAx>
        <c:axId val="1714283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595311"/>
        <c:crosses val="autoZero"/>
        <c:auto val="1"/>
        <c:lblAlgn val="ctr"/>
        <c:lblOffset val="100"/>
        <c:noMultiLvlLbl val="0"/>
      </c:catAx>
      <c:valAx>
        <c:axId val="166159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8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[Excel_jumia_dataset.csv.xlsx]SLICERS!PivotTable6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Top</a:t>
            </a:r>
            <a:r>
              <a:rPr lang="en-US" b="1" baseline="0">
                <a:solidFill>
                  <a:schemeClr val="accent6">
                    <a:lumMod val="50000"/>
                  </a:schemeClr>
                </a:solidFill>
              </a:rPr>
              <a:t> Products by Discount</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SLICERS!$D$76</c:f>
              <c:strCache>
                <c:ptCount val="1"/>
                <c:pt idx="0">
                  <c:v>Total</c:v>
                </c:pt>
              </c:strCache>
            </c:strRef>
          </c:tx>
          <c:spPr>
            <a:solidFill>
              <a:schemeClr val="accent1"/>
            </a:solidFill>
            <a:ln>
              <a:noFill/>
            </a:ln>
            <a:effectLst/>
          </c:spPr>
          <c:invertIfNegative val="0"/>
          <c:cat>
            <c:strRef>
              <c:f>SLICERS!$C$77:$C$87</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SLICERS!$D$77:$D$87</c:f>
              <c:numCache>
                <c:formatCode>0%</c:formatCode>
                <c:ptCount val="10"/>
                <c:pt idx="0">
                  <c:v>0.53</c:v>
                </c:pt>
                <c:pt idx="1">
                  <c:v>0.55000000000000004</c:v>
                </c:pt>
                <c:pt idx="2">
                  <c:v>0.64</c:v>
                </c:pt>
                <c:pt idx="3">
                  <c:v>0.53</c:v>
                </c:pt>
                <c:pt idx="4">
                  <c:v>0.55000000000000004</c:v>
                </c:pt>
                <c:pt idx="5">
                  <c:v>0.52</c:v>
                </c:pt>
                <c:pt idx="6">
                  <c:v>0.52</c:v>
                </c:pt>
                <c:pt idx="7">
                  <c:v>0.54</c:v>
                </c:pt>
                <c:pt idx="8">
                  <c:v>0.55000000000000004</c:v>
                </c:pt>
                <c:pt idx="9">
                  <c:v>0.54</c:v>
                </c:pt>
              </c:numCache>
            </c:numRef>
          </c:val>
          <c:extLst>
            <c:ext xmlns:c16="http://schemas.microsoft.com/office/drawing/2014/chart" uri="{C3380CC4-5D6E-409C-BE32-E72D297353CC}">
              <c16:uniqueId val="{00000000-441D-4548-B204-5DFFD83EA480}"/>
            </c:ext>
          </c:extLst>
        </c:ser>
        <c:dLbls>
          <c:showLegendKey val="0"/>
          <c:showVal val="0"/>
          <c:showCatName val="0"/>
          <c:showSerName val="0"/>
          <c:showPercent val="0"/>
          <c:showBubbleSize val="0"/>
        </c:dLbls>
        <c:gapWidth val="182"/>
        <c:axId val="1769266751"/>
        <c:axId val="1661629871"/>
      </c:barChart>
      <c:catAx>
        <c:axId val="17692667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629871"/>
        <c:crosses val="autoZero"/>
        <c:auto val="1"/>
        <c:lblAlgn val="ctr"/>
        <c:lblOffset val="100"/>
        <c:noMultiLvlLbl val="0"/>
      </c:catAx>
      <c:valAx>
        <c:axId val="16616298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26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[Excel_jumia_dataset.csv.xlsx]SLICERS!PivotTable7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Ratings</a:t>
            </a:r>
            <a:r>
              <a:rPr lang="en-US" b="1" baseline="0">
                <a:solidFill>
                  <a:schemeClr val="accent6">
                    <a:lumMod val="50000"/>
                  </a:schemeClr>
                </a:solidFill>
              </a:rPr>
              <a:t> vs Reviews</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SLICERS!$C$98</c:f>
              <c:strCache>
                <c:ptCount val="1"/>
                <c:pt idx="0">
                  <c:v>Sum of Ratingd</c:v>
                </c:pt>
              </c:strCache>
            </c:strRef>
          </c:tx>
          <c:spPr>
            <a:solidFill>
              <a:schemeClr val="accent1"/>
            </a:solidFill>
            <a:ln>
              <a:noFill/>
            </a:ln>
            <a:effectLst/>
          </c:spPr>
          <c:invertIfNegative val="0"/>
          <c:cat>
            <c:strRef>
              <c:f>SLICERS!$C$99</c:f>
              <c:strCache>
                <c:ptCount val="1"/>
                <c:pt idx="0">
                  <c:v>Total</c:v>
                </c:pt>
              </c:strCache>
            </c:strRef>
          </c:cat>
          <c:val>
            <c:numRef>
              <c:f>SLICERS!$C$99</c:f>
              <c:numCache>
                <c:formatCode>General</c:formatCode>
                <c:ptCount val="1"/>
                <c:pt idx="0">
                  <c:v>221.69999999999996</c:v>
                </c:pt>
              </c:numCache>
            </c:numRef>
          </c:val>
          <c:extLst>
            <c:ext xmlns:c16="http://schemas.microsoft.com/office/drawing/2014/chart" uri="{C3380CC4-5D6E-409C-BE32-E72D297353CC}">
              <c16:uniqueId val="{00000000-0581-49B8-85E9-48F15CBD0132}"/>
            </c:ext>
          </c:extLst>
        </c:ser>
        <c:ser>
          <c:idx val="1"/>
          <c:order val="1"/>
          <c:tx>
            <c:strRef>
              <c:f>SLICERS!$D$98</c:f>
              <c:strCache>
                <c:ptCount val="1"/>
                <c:pt idx="0">
                  <c:v>Average of Review</c:v>
                </c:pt>
              </c:strCache>
            </c:strRef>
          </c:tx>
          <c:spPr>
            <a:solidFill>
              <a:schemeClr val="accent2"/>
            </a:solidFill>
            <a:ln>
              <a:noFill/>
            </a:ln>
            <a:effectLst/>
          </c:spPr>
          <c:invertIfNegative val="0"/>
          <c:cat>
            <c:strRef>
              <c:f>SLICERS!$C$99</c:f>
              <c:strCache>
                <c:ptCount val="1"/>
                <c:pt idx="0">
                  <c:v>Total</c:v>
                </c:pt>
              </c:strCache>
            </c:strRef>
          </c:cat>
          <c:val>
            <c:numRef>
              <c:f>SLICERS!$D$99</c:f>
              <c:numCache>
                <c:formatCode>General</c:formatCode>
                <c:ptCount val="1"/>
                <c:pt idx="0">
                  <c:v>12.684210526315789</c:v>
                </c:pt>
              </c:numCache>
            </c:numRef>
          </c:val>
          <c:extLst>
            <c:ext xmlns:c16="http://schemas.microsoft.com/office/drawing/2014/chart" uri="{C3380CC4-5D6E-409C-BE32-E72D297353CC}">
              <c16:uniqueId val="{00000001-0581-49B8-85E9-48F15CBD0132}"/>
            </c:ext>
          </c:extLst>
        </c:ser>
        <c:dLbls>
          <c:showLegendKey val="0"/>
          <c:showVal val="0"/>
          <c:showCatName val="0"/>
          <c:showSerName val="0"/>
          <c:showPercent val="0"/>
          <c:showBubbleSize val="0"/>
        </c:dLbls>
        <c:gapWidth val="219"/>
        <c:overlap val="-27"/>
        <c:axId val="1714265647"/>
        <c:axId val="1661532431"/>
      </c:barChart>
      <c:catAx>
        <c:axId val="171426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532431"/>
        <c:crosses val="autoZero"/>
        <c:auto val="1"/>
        <c:lblAlgn val="ctr"/>
        <c:lblOffset val="100"/>
        <c:noMultiLvlLbl val="0"/>
      </c:catAx>
      <c:valAx>
        <c:axId val="166153243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6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[Excel_jumia_dataset.csv.xlsx]SLICERS!PivotTable8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Discount</a:t>
            </a:r>
            <a:r>
              <a:rPr lang="en-US" b="1" baseline="0">
                <a:solidFill>
                  <a:schemeClr val="accent6">
                    <a:lumMod val="50000"/>
                  </a:schemeClr>
                </a:solidFill>
              </a:rPr>
              <a:t> vs Reviews</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SLICERS!$C$109</c:f>
              <c:strCache>
                <c:ptCount val="1"/>
                <c:pt idx="0">
                  <c:v>Average of Discount</c:v>
                </c:pt>
              </c:strCache>
            </c:strRef>
          </c:tx>
          <c:spPr>
            <a:solidFill>
              <a:schemeClr val="accent1"/>
            </a:solidFill>
            <a:ln>
              <a:noFill/>
            </a:ln>
            <a:effectLst/>
          </c:spPr>
          <c:invertIfNegative val="0"/>
          <c:cat>
            <c:strRef>
              <c:f>SLICERS!$C$110</c:f>
              <c:strCache>
                <c:ptCount val="1"/>
                <c:pt idx="0">
                  <c:v>Total</c:v>
                </c:pt>
              </c:strCache>
            </c:strRef>
          </c:cat>
          <c:val>
            <c:numRef>
              <c:f>SLICERS!$C$110</c:f>
              <c:numCache>
                <c:formatCode>0%</c:formatCode>
                <c:ptCount val="1"/>
                <c:pt idx="0">
                  <c:v>0.36681415929203537</c:v>
                </c:pt>
              </c:numCache>
            </c:numRef>
          </c:val>
          <c:extLst>
            <c:ext xmlns:c16="http://schemas.microsoft.com/office/drawing/2014/chart" uri="{C3380CC4-5D6E-409C-BE32-E72D297353CC}">
              <c16:uniqueId val="{00000000-A025-4B2D-B25D-5F09EBBE9E0D}"/>
            </c:ext>
          </c:extLst>
        </c:ser>
        <c:ser>
          <c:idx val="1"/>
          <c:order val="1"/>
          <c:tx>
            <c:strRef>
              <c:f>SLICERS!$D$109</c:f>
              <c:strCache>
                <c:ptCount val="1"/>
                <c:pt idx="0">
                  <c:v>Average of Review</c:v>
                </c:pt>
              </c:strCache>
            </c:strRef>
          </c:tx>
          <c:spPr>
            <a:solidFill>
              <a:schemeClr val="accent2"/>
            </a:solidFill>
            <a:ln>
              <a:noFill/>
            </a:ln>
            <a:effectLst/>
          </c:spPr>
          <c:invertIfNegative val="0"/>
          <c:cat>
            <c:strRef>
              <c:f>SLICERS!$C$110</c:f>
              <c:strCache>
                <c:ptCount val="1"/>
                <c:pt idx="0">
                  <c:v>Total</c:v>
                </c:pt>
              </c:strCache>
            </c:strRef>
          </c:cat>
          <c:val>
            <c:numRef>
              <c:f>SLICERS!$D$110</c:f>
              <c:numCache>
                <c:formatCode>General</c:formatCode>
                <c:ptCount val="1"/>
                <c:pt idx="0">
                  <c:v>12.684210526315789</c:v>
                </c:pt>
              </c:numCache>
            </c:numRef>
          </c:val>
          <c:extLst>
            <c:ext xmlns:c16="http://schemas.microsoft.com/office/drawing/2014/chart" uri="{C3380CC4-5D6E-409C-BE32-E72D297353CC}">
              <c16:uniqueId val="{00000001-A025-4B2D-B25D-5F09EBBE9E0D}"/>
            </c:ext>
          </c:extLst>
        </c:ser>
        <c:dLbls>
          <c:showLegendKey val="0"/>
          <c:showVal val="0"/>
          <c:showCatName val="0"/>
          <c:showSerName val="0"/>
          <c:showPercent val="0"/>
          <c:showBubbleSize val="0"/>
        </c:dLbls>
        <c:gapWidth val="219"/>
        <c:overlap val="-27"/>
        <c:axId val="1721572751"/>
        <c:axId val="1661627471"/>
      </c:barChart>
      <c:catAx>
        <c:axId val="172157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627471"/>
        <c:crosses val="autoZero"/>
        <c:auto val="1"/>
        <c:lblAlgn val="ctr"/>
        <c:lblOffset val="100"/>
        <c:noMultiLvlLbl val="0"/>
      </c:catAx>
      <c:valAx>
        <c:axId val="1661627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57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[Excel_jumia_dataset.csv.xlsx]SLICERS!PivotTable9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Rating</a:t>
            </a:r>
            <a:r>
              <a:rPr lang="en-US" b="1" baseline="0">
                <a:solidFill>
                  <a:schemeClr val="accent6">
                    <a:lumMod val="50000"/>
                  </a:schemeClr>
                </a:solidFill>
              </a:rPr>
              <a:t> Mix</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SLICERS!$I$14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CC-499C-8E02-18C5B7C784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CC-499C-8E02-18C5B7C784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CC-499C-8E02-18C5B7C784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CC-499C-8E02-18C5B7C7843A}"/>
              </c:ext>
            </c:extLst>
          </c:dPt>
          <c:cat>
            <c:strRef>
              <c:f>SLICERS!$H$15:$H$19</c:f>
              <c:strCache>
                <c:ptCount val="4"/>
                <c:pt idx="0">
                  <c:v>AVERAGE</c:v>
                </c:pt>
                <c:pt idx="1">
                  <c:v>EXCELLENT</c:v>
                </c:pt>
                <c:pt idx="2">
                  <c:v>NOT PROVIDED</c:v>
                </c:pt>
                <c:pt idx="3">
                  <c:v>POOR</c:v>
                </c:pt>
              </c:strCache>
            </c:strRef>
          </c:cat>
          <c:val>
            <c:numRef>
              <c:f>SLICERS!$I$15:$I$19</c:f>
              <c:numCache>
                <c:formatCode>General</c:formatCode>
                <c:ptCount val="4"/>
                <c:pt idx="0">
                  <c:v>22</c:v>
                </c:pt>
                <c:pt idx="1">
                  <c:v>23</c:v>
                </c:pt>
                <c:pt idx="2">
                  <c:v>56</c:v>
                </c:pt>
                <c:pt idx="3">
                  <c:v>12</c:v>
                </c:pt>
              </c:numCache>
            </c:numRef>
          </c:val>
          <c:extLst>
            <c:ext xmlns:c16="http://schemas.microsoft.com/office/drawing/2014/chart" uri="{C3380CC4-5D6E-409C-BE32-E72D297353CC}">
              <c16:uniqueId val="{00000000-8E68-4A3C-94DC-468DB29689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[Excel_jumia_dataset.csv.xlsx]SLICERS!PivotTable5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Top</a:t>
            </a:r>
            <a:r>
              <a:rPr lang="en-US" b="1" baseline="0">
                <a:solidFill>
                  <a:schemeClr val="accent6">
                    <a:lumMod val="50000"/>
                  </a:schemeClr>
                </a:solidFill>
              </a:rPr>
              <a:t> 10 Products by Review</a:t>
            </a:r>
            <a:endParaRPr lang="en-US" b="1">
              <a:solidFill>
                <a:schemeClr val="accent6">
                  <a:lumMod val="50000"/>
                </a:schemeClr>
              </a:solidFill>
            </a:endParaRPr>
          </a:p>
        </c:rich>
      </c:tx>
      <c:layout>
        <c:manualLayout>
          <c:xMode val="edge"/>
          <c:yMode val="edge"/>
          <c:x val="0.29375556316330026"/>
          <c:y val="0.1342683727034120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SLICERS!$C$62</c:f>
              <c:strCache>
                <c:ptCount val="1"/>
                <c:pt idx="0">
                  <c:v>Total</c:v>
                </c:pt>
              </c:strCache>
            </c:strRef>
          </c:tx>
          <c:spPr>
            <a:solidFill>
              <a:schemeClr val="accent6"/>
            </a:solidFill>
            <a:ln>
              <a:noFill/>
            </a:ln>
            <a:effectLst/>
          </c:spPr>
          <c:invertIfNegative val="0"/>
          <c:cat>
            <c:strRef>
              <c:f>SLICERS!$B$63:$B$73</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SLICERS!$C$63:$C$73</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4C79-4FFC-82CA-549CB9339E55}"/>
            </c:ext>
          </c:extLst>
        </c:ser>
        <c:dLbls>
          <c:showLegendKey val="0"/>
          <c:showVal val="0"/>
          <c:showCatName val="0"/>
          <c:showSerName val="0"/>
          <c:showPercent val="0"/>
          <c:showBubbleSize val="0"/>
        </c:dLbls>
        <c:gapWidth val="150"/>
        <c:overlap val="100"/>
        <c:axId val="1714283743"/>
        <c:axId val="1661595311"/>
      </c:barChart>
      <c:catAx>
        <c:axId val="1714283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595311"/>
        <c:crosses val="autoZero"/>
        <c:auto val="1"/>
        <c:lblAlgn val="ctr"/>
        <c:lblOffset val="100"/>
        <c:noMultiLvlLbl val="0"/>
      </c:catAx>
      <c:valAx>
        <c:axId val="166159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8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[Excel_jumia_dataset.csv.xlsx]SLICERS!PivotTable6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Top</a:t>
            </a:r>
            <a:r>
              <a:rPr lang="en-US" b="1" baseline="0">
                <a:solidFill>
                  <a:schemeClr val="accent6">
                    <a:lumMod val="50000"/>
                  </a:schemeClr>
                </a:solidFill>
              </a:rPr>
              <a:t> 10 Products by Discount</a:t>
            </a:r>
            <a:endParaRPr lang="en-US" b="1">
              <a:solidFill>
                <a:schemeClr val="accent6">
                  <a:lumMod val="50000"/>
                </a:schemeClr>
              </a:solidFill>
            </a:endParaRPr>
          </a:p>
        </c:rich>
      </c:tx>
      <c:layout>
        <c:manualLayout>
          <c:xMode val="edge"/>
          <c:yMode val="edge"/>
          <c:x val="0.30879288909213026"/>
          <c:y val="0.1530552482592568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SLICERS!$D$76</c:f>
              <c:strCache>
                <c:ptCount val="1"/>
                <c:pt idx="0">
                  <c:v>Total</c:v>
                </c:pt>
              </c:strCache>
            </c:strRef>
          </c:tx>
          <c:spPr>
            <a:solidFill>
              <a:schemeClr val="accent6"/>
            </a:solidFill>
            <a:ln>
              <a:noFill/>
            </a:ln>
            <a:effectLst/>
          </c:spPr>
          <c:invertIfNegative val="0"/>
          <c:cat>
            <c:strRef>
              <c:f>SLICERS!$C$77:$C$87</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SLICERS!$D$77:$D$87</c:f>
              <c:numCache>
                <c:formatCode>0%</c:formatCode>
                <c:ptCount val="10"/>
                <c:pt idx="0">
                  <c:v>0.53</c:v>
                </c:pt>
                <c:pt idx="1">
                  <c:v>0.55000000000000004</c:v>
                </c:pt>
                <c:pt idx="2">
                  <c:v>0.64</c:v>
                </c:pt>
                <c:pt idx="3">
                  <c:v>0.53</c:v>
                </c:pt>
                <c:pt idx="4">
                  <c:v>0.55000000000000004</c:v>
                </c:pt>
                <c:pt idx="5">
                  <c:v>0.52</c:v>
                </c:pt>
                <c:pt idx="6">
                  <c:v>0.52</c:v>
                </c:pt>
                <c:pt idx="7">
                  <c:v>0.54</c:v>
                </c:pt>
                <c:pt idx="8">
                  <c:v>0.55000000000000004</c:v>
                </c:pt>
                <c:pt idx="9">
                  <c:v>0.54</c:v>
                </c:pt>
              </c:numCache>
            </c:numRef>
          </c:val>
          <c:extLst>
            <c:ext xmlns:c16="http://schemas.microsoft.com/office/drawing/2014/chart" uri="{C3380CC4-5D6E-409C-BE32-E72D297353CC}">
              <c16:uniqueId val="{00000000-9AE3-48C8-8E8B-7B2358143758}"/>
            </c:ext>
          </c:extLst>
        </c:ser>
        <c:dLbls>
          <c:showLegendKey val="0"/>
          <c:showVal val="0"/>
          <c:showCatName val="0"/>
          <c:showSerName val="0"/>
          <c:showPercent val="0"/>
          <c:showBubbleSize val="0"/>
        </c:dLbls>
        <c:gapWidth val="182"/>
        <c:axId val="1769266751"/>
        <c:axId val="1661629871"/>
      </c:barChart>
      <c:catAx>
        <c:axId val="17692667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629871"/>
        <c:crosses val="autoZero"/>
        <c:auto val="1"/>
        <c:lblAlgn val="ctr"/>
        <c:lblOffset val="100"/>
        <c:noMultiLvlLbl val="0"/>
      </c:catAx>
      <c:valAx>
        <c:axId val="16616298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26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[Excel_jumia_dataset.csv.xlsx]SLICERS!PivotTable4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Total 10</a:t>
            </a:r>
            <a:r>
              <a:rPr lang="en-US" b="1" baseline="0">
                <a:solidFill>
                  <a:schemeClr val="accent6">
                    <a:lumMod val="50000"/>
                  </a:schemeClr>
                </a:solidFill>
              </a:rPr>
              <a:t> Products by Rating</a:t>
            </a:r>
            <a:endParaRPr lang="en-US" b="1">
              <a:solidFill>
                <a:schemeClr val="accent6">
                  <a:lumMod val="50000"/>
                </a:schemeClr>
              </a:solidFill>
            </a:endParaRPr>
          </a:p>
        </c:rich>
      </c:tx>
      <c:layout>
        <c:manualLayout>
          <c:xMode val="edge"/>
          <c:yMode val="edge"/>
          <c:x val="0.30456140350877192"/>
          <c:y val="0.1158211312411163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SLICERS!$B$46</c:f>
              <c:strCache>
                <c:ptCount val="1"/>
                <c:pt idx="0">
                  <c:v>Total</c:v>
                </c:pt>
              </c:strCache>
            </c:strRef>
          </c:tx>
          <c:spPr>
            <a:solidFill>
              <a:schemeClr val="accent6"/>
            </a:solidFill>
            <a:ln>
              <a:noFill/>
            </a:ln>
            <a:effectLst/>
          </c:spPr>
          <c:invertIfNegative val="0"/>
          <c:cat>
            <c:strRef>
              <c:f>SLICERS!$A$47:$A$57</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SLICERS!$B$47:$B$57</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2325-450E-80F8-C2D22A4B34FF}"/>
            </c:ext>
          </c:extLst>
        </c:ser>
        <c:dLbls>
          <c:showLegendKey val="0"/>
          <c:showVal val="0"/>
          <c:showCatName val="0"/>
          <c:showSerName val="0"/>
          <c:showPercent val="0"/>
          <c:showBubbleSize val="0"/>
        </c:dLbls>
        <c:gapWidth val="150"/>
        <c:overlap val="100"/>
        <c:axId val="1721629823"/>
        <c:axId val="1661519471"/>
      </c:barChart>
      <c:catAx>
        <c:axId val="17216298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519471"/>
        <c:crosses val="autoZero"/>
        <c:auto val="1"/>
        <c:lblAlgn val="ctr"/>
        <c:lblOffset val="100"/>
        <c:noMultiLvlLbl val="0"/>
      </c:catAx>
      <c:valAx>
        <c:axId val="16615194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62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[Excel_jumia_dataset.csv.xlsx]SLICERS!PivotTable2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Price</a:t>
            </a:r>
            <a:r>
              <a:rPr lang="en-US" b="1" baseline="0">
                <a:solidFill>
                  <a:schemeClr val="accent6">
                    <a:lumMod val="50000"/>
                  </a:schemeClr>
                </a:solidFill>
              </a:rPr>
              <a:t> Vs Rating</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SLICERS!$B$21</c:f>
              <c:strCache>
                <c:ptCount val="1"/>
                <c:pt idx="0">
                  <c:v>Total</c:v>
                </c:pt>
              </c:strCache>
            </c:strRef>
          </c:tx>
          <c:spPr>
            <a:solidFill>
              <a:schemeClr val="accent6"/>
            </a:solidFill>
            <a:ln>
              <a:noFill/>
            </a:ln>
            <a:effectLst/>
          </c:spPr>
          <c:invertIfNegative val="0"/>
          <c:cat>
            <c:strRef>
              <c:f>SLICERS!$A$22:$A$23</c:f>
              <c:strCache>
                <c:ptCount val="1"/>
                <c:pt idx="0">
                  <c:v>HIGH PRICE</c:v>
                </c:pt>
              </c:strCache>
            </c:strRef>
          </c:cat>
          <c:val>
            <c:numRef>
              <c:f>SLICERS!$B$22:$B$23</c:f>
              <c:numCache>
                <c:formatCode>General</c:formatCode>
                <c:ptCount val="1"/>
                <c:pt idx="0">
                  <c:v>2.5</c:v>
                </c:pt>
              </c:numCache>
            </c:numRef>
          </c:val>
          <c:extLst>
            <c:ext xmlns:c16="http://schemas.microsoft.com/office/drawing/2014/chart" uri="{C3380CC4-5D6E-409C-BE32-E72D297353CC}">
              <c16:uniqueId val="{00000000-3425-4793-B1F8-8DCEB491159E}"/>
            </c:ext>
          </c:extLst>
        </c:ser>
        <c:dLbls>
          <c:showLegendKey val="0"/>
          <c:showVal val="0"/>
          <c:showCatName val="0"/>
          <c:showSerName val="0"/>
          <c:showPercent val="0"/>
          <c:showBubbleSize val="0"/>
        </c:dLbls>
        <c:gapWidth val="219"/>
        <c:overlap val="-27"/>
        <c:axId val="1769227775"/>
        <c:axId val="1661536751"/>
      </c:barChart>
      <c:catAx>
        <c:axId val="176922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r>
                  <a:rPr lang="en-US" baseline="0"/>
                  <a:t> category</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536751"/>
        <c:crosses val="autoZero"/>
        <c:auto val="1"/>
        <c:lblAlgn val="ctr"/>
        <c:lblOffset val="100"/>
        <c:noMultiLvlLbl val="0"/>
      </c:catAx>
      <c:valAx>
        <c:axId val="1661536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22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[Excel_jumia_dataset.csv.xlsx]SLICERS!PivotTable7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Ratings</a:t>
            </a:r>
            <a:r>
              <a:rPr lang="en-US" b="1" baseline="0">
                <a:solidFill>
                  <a:schemeClr val="accent6">
                    <a:lumMod val="50000"/>
                  </a:schemeClr>
                </a:solidFill>
              </a:rPr>
              <a:t> vs Reviews</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SLICERS!$C$98</c:f>
              <c:strCache>
                <c:ptCount val="1"/>
                <c:pt idx="0">
                  <c:v>Sum of Ratingd</c:v>
                </c:pt>
              </c:strCache>
            </c:strRef>
          </c:tx>
          <c:spPr>
            <a:solidFill>
              <a:schemeClr val="accent6">
                <a:shade val="76000"/>
              </a:schemeClr>
            </a:solidFill>
            <a:ln>
              <a:noFill/>
            </a:ln>
            <a:effectLst/>
          </c:spPr>
          <c:invertIfNegative val="0"/>
          <c:cat>
            <c:strRef>
              <c:f>SLICERS!$C$99</c:f>
              <c:strCache>
                <c:ptCount val="1"/>
                <c:pt idx="0">
                  <c:v>Total</c:v>
                </c:pt>
              </c:strCache>
            </c:strRef>
          </c:cat>
          <c:val>
            <c:numRef>
              <c:f>SLICERS!$C$99</c:f>
              <c:numCache>
                <c:formatCode>General</c:formatCode>
                <c:ptCount val="1"/>
                <c:pt idx="0">
                  <c:v>221.69999999999996</c:v>
                </c:pt>
              </c:numCache>
            </c:numRef>
          </c:val>
          <c:extLst>
            <c:ext xmlns:c16="http://schemas.microsoft.com/office/drawing/2014/chart" uri="{C3380CC4-5D6E-409C-BE32-E72D297353CC}">
              <c16:uniqueId val="{00000000-032F-4B13-A36E-B71257ABB3A8}"/>
            </c:ext>
          </c:extLst>
        </c:ser>
        <c:ser>
          <c:idx val="1"/>
          <c:order val="1"/>
          <c:tx>
            <c:strRef>
              <c:f>SLICERS!$D$98</c:f>
              <c:strCache>
                <c:ptCount val="1"/>
                <c:pt idx="0">
                  <c:v>Average of Review</c:v>
                </c:pt>
              </c:strCache>
            </c:strRef>
          </c:tx>
          <c:spPr>
            <a:solidFill>
              <a:schemeClr val="accent6">
                <a:tint val="77000"/>
              </a:schemeClr>
            </a:solidFill>
            <a:ln>
              <a:noFill/>
            </a:ln>
            <a:effectLst/>
          </c:spPr>
          <c:invertIfNegative val="0"/>
          <c:cat>
            <c:strRef>
              <c:f>SLICERS!$C$99</c:f>
              <c:strCache>
                <c:ptCount val="1"/>
                <c:pt idx="0">
                  <c:v>Total</c:v>
                </c:pt>
              </c:strCache>
            </c:strRef>
          </c:cat>
          <c:val>
            <c:numRef>
              <c:f>SLICERS!$D$99</c:f>
              <c:numCache>
                <c:formatCode>General</c:formatCode>
                <c:ptCount val="1"/>
                <c:pt idx="0">
                  <c:v>12.684210526315789</c:v>
                </c:pt>
              </c:numCache>
            </c:numRef>
          </c:val>
          <c:extLst>
            <c:ext xmlns:c16="http://schemas.microsoft.com/office/drawing/2014/chart" uri="{C3380CC4-5D6E-409C-BE32-E72D297353CC}">
              <c16:uniqueId val="{00000001-032F-4B13-A36E-B71257ABB3A8}"/>
            </c:ext>
          </c:extLst>
        </c:ser>
        <c:dLbls>
          <c:showLegendKey val="0"/>
          <c:showVal val="0"/>
          <c:showCatName val="0"/>
          <c:showSerName val="0"/>
          <c:showPercent val="0"/>
          <c:showBubbleSize val="0"/>
        </c:dLbls>
        <c:gapWidth val="219"/>
        <c:overlap val="-27"/>
        <c:axId val="1714265647"/>
        <c:axId val="1661532431"/>
      </c:barChart>
      <c:catAx>
        <c:axId val="171426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532431"/>
        <c:crosses val="autoZero"/>
        <c:auto val="1"/>
        <c:lblAlgn val="ctr"/>
        <c:lblOffset val="100"/>
        <c:noMultiLvlLbl val="0"/>
      </c:catAx>
      <c:valAx>
        <c:axId val="166153243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6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[Excel_jumia_dataset.csv.xlsx]SLICERS!PivotTable8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Discount</a:t>
            </a:r>
            <a:r>
              <a:rPr lang="en-US" b="1" baseline="0">
                <a:solidFill>
                  <a:schemeClr val="accent6">
                    <a:lumMod val="50000"/>
                  </a:schemeClr>
                </a:solidFill>
              </a:rPr>
              <a:t> vs Reviews</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SLICERS!$C$109</c:f>
              <c:strCache>
                <c:ptCount val="1"/>
                <c:pt idx="0">
                  <c:v>Average of Discount</c:v>
                </c:pt>
              </c:strCache>
            </c:strRef>
          </c:tx>
          <c:spPr>
            <a:solidFill>
              <a:schemeClr val="accent6">
                <a:shade val="76000"/>
              </a:schemeClr>
            </a:solidFill>
            <a:ln>
              <a:noFill/>
            </a:ln>
            <a:effectLst/>
          </c:spPr>
          <c:invertIfNegative val="0"/>
          <c:cat>
            <c:strRef>
              <c:f>SLICERS!$C$110</c:f>
              <c:strCache>
                <c:ptCount val="1"/>
                <c:pt idx="0">
                  <c:v>Total</c:v>
                </c:pt>
              </c:strCache>
            </c:strRef>
          </c:cat>
          <c:val>
            <c:numRef>
              <c:f>SLICERS!$C$110</c:f>
              <c:numCache>
                <c:formatCode>0%</c:formatCode>
                <c:ptCount val="1"/>
                <c:pt idx="0">
                  <c:v>0.36681415929203537</c:v>
                </c:pt>
              </c:numCache>
            </c:numRef>
          </c:val>
          <c:extLst>
            <c:ext xmlns:c16="http://schemas.microsoft.com/office/drawing/2014/chart" uri="{C3380CC4-5D6E-409C-BE32-E72D297353CC}">
              <c16:uniqueId val="{00000000-03B7-4AE8-9A02-9AB6DBBB8C7A}"/>
            </c:ext>
          </c:extLst>
        </c:ser>
        <c:ser>
          <c:idx val="1"/>
          <c:order val="1"/>
          <c:tx>
            <c:strRef>
              <c:f>SLICERS!$D$109</c:f>
              <c:strCache>
                <c:ptCount val="1"/>
                <c:pt idx="0">
                  <c:v>Average of Review</c:v>
                </c:pt>
              </c:strCache>
            </c:strRef>
          </c:tx>
          <c:spPr>
            <a:solidFill>
              <a:schemeClr val="accent6">
                <a:tint val="77000"/>
              </a:schemeClr>
            </a:solidFill>
            <a:ln>
              <a:noFill/>
            </a:ln>
            <a:effectLst/>
          </c:spPr>
          <c:invertIfNegative val="0"/>
          <c:cat>
            <c:strRef>
              <c:f>SLICERS!$C$110</c:f>
              <c:strCache>
                <c:ptCount val="1"/>
                <c:pt idx="0">
                  <c:v>Total</c:v>
                </c:pt>
              </c:strCache>
            </c:strRef>
          </c:cat>
          <c:val>
            <c:numRef>
              <c:f>SLICERS!$D$110</c:f>
              <c:numCache>
                <c:formatCode>General</c:formatCode>
                <c:ptCount val="1"/>
                <c:pt idx="0">
                  <c:v>12.684210526315789</c:v>
                </c:pt>
              </c:numCache>
            </c:numRef>
          </c:val>
          <c:extLst>
            <c:ext xmlns:c16="http://schemas.microsoft.com/office/drawing/2014/chart" uri="{C3380CC4-5D6E-409C-BE32-E72D297353CC}">
              <c16:uniqueId val="{00000001-03B7-4AE8-9A02-9AB6DBBB8C7A}"/>
            </c:ext>
          </c:extLst>
        </c:ser>
        <c:dLbls>
          <c:showLegendKey val="0"/>
          <c:showVal val="0"/>
          <c:showCatName val="0"/>
          <c:showSerName val="0"/>
          <c:showPercent val="0"/>
          <c:showBubbleSize val="0"/>
        </c:dLbls>
        <c:gapWidth val="219"/>
        <c:overlap val="-27"/>
        <c:axId val="1721572751"/>
        <c:axId val="1661627471"/>
      </c:barChart>
      <c:catAx>
        <c:axId val="172157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627471"/>
        <c:crosses val="autoZero"/>
        <c:auto val="1"/>
        <c:lblAlgn val="ctr"/>
        <c:lblOffset val="100"/>
        <c:noMultiLvlLbl val="0"/>
      </c:catAx>
      <c:valAx>
        <c:axId val="1661627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57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[Excel_jumia_dataset.csv.xlsx]SLICERS!PivotTable1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Discount</a:t>
            </a:r>
            <a:r>
              <a:rPr lang="en-US" b="1" baseline="0">
                <a:solidFill>
                  <a:schemeClr val="accent6">
                    <a:lumMod val="50000"/>
                  </a:schemeClr>
                </a:solidFill>
              </a:rPr>
              <a:t> Mix</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SLICERS!$B$10</c:f>
              <c:strCache>
                <c:ptCount val="1"/>
                <c:pt idx="0">
                  <c:v>Total</c:v>
                </c:pt>
              </c:strCache>
            </c:strRef>
          </c:tx>
          <c:spPr>
            <a:solidFill>
              <a:schemeClr val="accent6"/>
            </a:solidFill>
            <a:ln>
              <a:noFill/>
            </a:ln>
            <a:effectLst/>
          </c:spPr>
          <c:invertIfNegative val="0"/>
          <c:cat>
            <c:strRef>
              <c:f>SLICERS!$A$11:$A$12</c:f>
              <c:strCache>
                <c:ptCount val="1"/>
                <c:pt idx="0">
                  <c:v>LOW DISCOUNT</c:v>
                </c:pt>
              </c:strCache>
            </c:strRef>
          </c:cat>
          <c:val>
            <c:numRef>
              <c:f>SLICERS!$B$11:$B$12</c:f>
              <c:numCache>
                <c:formatCode>General</c:formatCode>
                <c:ptCount val="1"/>
                <c:pt idx="0">
                  <c:v>1</c:v>
                </c:pt>
              </c:numCache>
            </c:numRef>
          </c:val>
          <c:extLst>
            <c:ext xmlns:c16="http://schemas.microsoft.com/office/drawing/2014/chart" uri="{C3380CC4-5D6E-409C-BE32-E72D297353CC}">
              <c16:uniqueId val="{00000000-877B-4EA5-9FE9-CCF1135F4007}"/>
            </c:ext>
          </c:extLst>
        </c:ser>
        <c:dLbls>
          <c:showLegendKey val="0"/>
          <c:showVal val="0"/>
          <c:showCatName val="0"/>
          <c:showSerName val="0"/>
          <c:showPercent val="0"/>
          <c:showBubbleSize val="0"/>
        </c:dLbls>
        <c:gapWidth val="219"/>
        <c:overlap val="-27"/>
        <c:axId val="1667170511"/>
        <c:axId val="1661623631"/>
      </c:barChart>
      <c:catAx>
        <c:axId val="166717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623631"/>
        <c:crosses val="autoZero"/>
        <c:auto val="1"/>
        <c:lblAlgn val="ctr"/>
        <c:lblOffset val="100"/>
        <c:noMultiLvlLbl val="0"/>
      </c:catAx>
      <c:valAx>
        <c:axId val="166162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7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[Excel_jumia_dataset.csv.xlsx]SLICERS!PivotTable9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Rating</a:t>
            </a:r>
            <a:r>
              <a:rPr lang="en-US" b="1" baseline="0">
                <a:solidFill>
                  <a:schemeClr val="accent6">
                    <a:lumMod val="50000"/>
                  </a:schemeClr>
                </a:solidFill>
              </a:rPr>
              <a:t> Mix</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hade val="58000"/>
            </a:schemeClr>
          </a:solidFill>
          <a:ln w="19050">
            <a:solidFill>
              <a:schemeClr val="lt1"/>
            </a:solidFill>
          </a:ln>
          <a:effectLst/>
        </c:spPr>
      </c:pivotFmt>
      <c:pivotFmt>
        <c:idx val="8"/>
        <c:spPr>
          <a:solidFill>
            <a:schemeClr val="accent6">
              <a:shade val="86000"/>
            </a:schemeClr>
          </a:solidFill>
          <a:ln w="19050">
            <a:solidFill>
              <a:schemeClr val="lt1"/>
            </a:solidFill>
          </a:ln>
          <a:effectLst/>
        </c:spPr>
      </c:pivotFmt>
      <c:pivotFmt>
        <c:idx val="9"/>
        <c:spPr>
          <a:solidFill>
            <a:schemeClr val="accent6">
              <a:tint val="86000"/>
            </a:schemeClr>
          </a:solidFill>
          <a:ln w="19050">
            <a:solidFill>
              <a:schemeClr val="lt1"/>
            </a:solidFill>
          </a:ln>
          <a:effectLst/>
        </c:spPr>
      </c:pivotFmt>
      <c:pivotFmt>
        <c:idx val="10"/>
        <c:spPr>
          <a:solidFill>
            <a:schemeClr val="accent6">
              <a:tint val="58000"/>
            </a:schemeClr>
          </a:solidFill>
          <a:ln w="19050">
            <a:solidFill>
              <a:schemeClr val="lt1"/>
            </a:solidFill>
          </a:ln>
          <a:effectLst/>
        </c:spPr>
      </c:pivotFmt>
    </c:pivotFmts>
    <c:plotArea>
      <c:layout/>
      <c:doughnutChart>
        <c:varyColors val="1"/>
        <c:ser>
          <c:idx val="0"/>
          <c:order val="0"/>
          <c:tx>
            <c:strRef>
              <c:f>SLICERS!$I$14</c:f>
              <c:strCache>
                <c:ptCount val="1"/>
                <c:pt idx="0">
                  <c:v>Total</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D745-46CD-B8D7-8951ED59C871}"/>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D745-46CD-B8D7-8951ED59C871}"/>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D745-46CD-B8D7-8951ED59C871}"/>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D745-46CD-B8D7-8951ED59C871}"/>
              </c:ext>
            </c:extLst>
          </c:dPt>
          <c:cat>
            <c:strRef>
              <c:f>SLICERS!$H$15:$H$19</c:f>
              <c:strCache>
                <c:ptCount val="4"/>
                <c:pt idx="0">
                  <c:v>AVERAGE</c:v>
                </c:pt>
                <c:pt idx="1">
                  <c:v>EXCELLENT</c:v>
                </c:pt>
                <c:pt idx="2">
                  <c:v>NOT PROVIDED</c:v>
                </c:pt>
                <c:pt idx="3">
                  <c:v>POOR</c:v>
                </c:pt>
              </c:strCache>
            </c:strRef>
          </c:cat>
          <c:val>
            <c:numRef>
              <c:f>SLICERS!$I$15:$I$19</c:f>
              <c:numCache>
                <c:formatCode>General</c:formatCode>
                <c:ptCount val="4"/>
                <c:pt idx="0">
                  <c:v>22</c:v>
                </c:pt>
                <c:pt idx="1">
                  <c:v>23</c:v>
                </c:pt>
                <c:pt idx="2">
                  <c:v>56</c:v>
                </c:pt>
                <c:pt idx="3">
                  <c:v>12</c:v>
                </c:pt>
              </c:numCache>
            </c:numRef>
          </c:val>
          <c:extLst>
            <c:ext xmlns:c16="http://schemas.microsoft.com/office/drawing/2014/chart" uri="{C3380CC4-5D6E-409C-BE32-E72D297353CC}">
              <c16:uniqueId val="{00000008-D745-46CD-B8D7-8951ED59C87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data id="1">
      <cx:numDim type="val">
        <cx:f>_xlchart.v1.6</cx:f>
      </cx:numDim>
    </cx:data>
  </cx:chartData>
  <cx:chart>
    <cx:title pos="t" align="ctr" overlay="0">
      <cx:tx>
        <cx:txData>
          <cx:v>Price vs  Rating</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Price vs  Rating</a:t>
          </a:r>
        </a:p>
      </cx:txPr>
    </cx:title>
    <cx:plotArea>
      <cx:plotAreaRegion>
        <cx:series layoutId="clusteredColumn" uniqueId="{B0B5272D-7367-424B-BB09-89B7BA417678}" formatIdx="0">
          <cx:tx>
            <cx:txData>
              <cx:f>_xlchart.v1.3</cx:f>
              <cx:v>Current price</cx:v>
            </cx:txData>
          </cx:tx>
          <cx:dataId val="0"/>
          <cx:layoutPr>
            <cx:binning intervalClosed="r"/>
          </cx:layoutPr>
          <cx:axisId val="1"/>
        </cx:series>
        <cx:series layoutId="paretoLine" ownerIdx="0" uniqueId="{B5D4AC45-2050-4027-BDDE-33AEAF25EF9B}" formatIdx="1">
          <cx:axisId val="2"/>
        </cx:series>
        <cx:series layoutId="clusteredColumn" hidden="1" uniqueId="{351991A2-4FC8-42CC-A30E-85C260935E47}" formatIdx="2">
          <cx:tx>
            <cx:txData>
              <cx:f>_xlchart.v1.5</cx:f>
              <cx:v>Ratingd</cx:v>
            </cx:txData>
          </cx:tx>
          <cx:dataId val="1"/>
          <cx:layoutPr>
            <cx:binning intervalClosed="r"/>
          </cx:layoutPr>
          <cx:axisId val="1"/>
        </cx:series>
        <cx:series layoutId="paretoLine" ownerIdx="2" uniqueId="{7E9DE92B-F349-45F5-B086-BEC198A20DEC}" formatIdx="3">
          <cx:axisId val="2"/>
        </cx:series>
      </cx:plotAreaRegion>
      <cx:axis id="0">
        <cx:catScaling gapWidth="0"/>
        <cx:title>
          <cx:tx>
            <cx:txData>
              <cx:v>Price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Price</a:t>
              </a:r>
            </a:p>
          </cx:txPr>
        </cx:title>
        <cx:tickLabels/>
      </cx:axis>
      <cx:axis id="1">
        <cx:valScaling/>
        <cx:title>
          <cx:tx>
            <cx:txData>
              <cx:v>Rating</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Rating</a:t>
              </a:r>
            </a:p>
          </cx:txPr>
        </cx:title>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Discount vs No of reviews</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1" i="0" u="none" strike="noStrike" kern="1200" cap="none" spc="0" normalizeH="0" baseline="0" noProof="0">
              <a:ln>
                <a:noFill/>
              </a:ln>
              <a:solidFill>
                <a:sysClr val="windowText" lastClr="000000">
                  <a:lumMod val="65000"/>
                  <a:lumOff val="35000"/>
                </a:sysClr>
              </a:solidFill>
              <a:effectLst/>
              <a:uLnTx/>
              <a:uFillTx/>
              <a:latin typeface="Calibri" panose="020F0502020204030204"/>
            </a:rPr>
            <a:t>Discount vs No of reviews</a:t>
          </a:r>
        </a:p>
      </cx:txPr>
      <cx:extLst>
        <cx:ext uri="ext:featex">
          <cx:featureExtension feature="mp" drop="onModelChange">
            <cx:offset top="-0.034722223877906799" left="-0.090277776122093201"/>
          </cx:featureExtension>
        </cx:ext>
      </cx:extLst>
    </cx:title>
    <cx:plotArea>
      <cx:plotAreaRegion>
        <cx:series layoutId="clusteredColumn" uniqueId="{0AC361C9-D518-4C6E-A22D-0C2A4400C600}">
          <cx:tx>
            <cx:txData>
              <cx:f>_xlchart.v1.1</cx:f>
              <cx:v>Review</cx:v>
            </cx:txData>
          </cx:tx>
          <cx:dataId val="0"/>
          <cx:layoutPr>
            <cx:aggregation/>
          </cx:layoutPr>
          <cx:axisId val="1"/>
        </cx:series>
        <cx:series layoutId="paretoLine" ownerIdx="0" uniqueId="{6A98AAAB-A8ED-458B-B7C7-CFFEBB09CFFF}">
          <cx:axisId val="2"/>
        </cx:series>
      </cx:plotAreaRegion>
      <cx:axis id="0">
        <cx:catScaling/>
        <cx:title>
          <cx:tx>
            <cx:txData>
              <cx:v>Discount</cx:v>
            </cx:txData>
          </cx:tx>
          <cx:txPr>
            <a:bodyPr spcFirstLastPara="1" vertOverflow="ellipsis" horzOverflow="overflow" wrap="square" lIns="0" tIns="0" rIns="0" bIns="0" anchor="ctr" anchorCtr="1"/>
            <a:lstStyle/>
            <a:p>
              <a:pPr algn="ctr" rtl="0">
                <a:defRPr/>
              </a:pPr>
              <a:r>
                <a:rPr lang="en-US" sz="1000" b="0" i="0" u="none" strike="noStrike" kern="1200" baseline="0">
                  <a:solidFill>
                    <a:sysClr val="windowText" lastClr="000000">
                      <a:lumMod val="65000"/>
                      <a:lumOff val="35000"/>
                    </a:sysClr>
                  </a:solidFill>
                  <a:latin typeface="Calibri" panose="020F0502020204030204"/>
                </a:rPr>
                <a:t>Discount</a:t>
              </a:r>
            </a:p>
          </cx:txPr>
        </cx:title>
        <cx:majorGridlines/>
        <cx:tickLabels/>
      </cx:axis>
      <cx:axis id="1">
        <cx:valScaling/>
        <cx:title>
          <cx:tx>
            <cx:txData>
              <cx:v>No of reviews</cx:v>
            </cx:txData>
          </cx:tx>
          <cx:txPr>
            <a:bodyPr spcFirstLastPara="1" vertOverflow="ellipsis" horzOverflow="overflow" wrap="square" lIns="0" tIns="0" rIns="0" bIns="0" anchor="ctr" anchorCtr="1"/>
            <a:lstStyle/>
            <a:p>
              <a:pPr algn="ctr" rtl="0">
                <a:defRPr/>
              </a:pPr>
              <a:r>
                <a:rPr lang="en-US" sz="1000" b="0" i="0" u="none" strike="noStrike" kern="1200" baseline="0">
                  <a:solidFill>
                    <a:sysClr val="windowText" lastClr="000000">
                      <a:lumMod val="65000"/>
                      <a:lumOff val="35000"/>
                    </a:sysClr>
                  </a:solidFill>
                  <a:latin typeface="Calibri" panose="020F0502020204030204"/>
                </a:rPr>
                <a:t>No of reviews</a:t>
              </a:r>
            </a:p>
          </cx:txPr>
          <cx:extLst>
            <cx:ext uri="ext:featex">
              <cx:featureExtension feature="mp" drop="onModelChange">
                <cx:offset left="0.034722223877906799"/>
              </cx:featureExtension>
            </cx:ext>
          </cx:extLst>
        </cx:title>
        <cx:majorGridlines/>
        <cx:tickLabels/>
      </cx:axis>
      <cx:axis id="2">
        <cx:valScaling max="1" min="0"/>
        <cx:title/>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9">
  <a:schemeClr val="accent6"/>
</cs:colorStyle>
</file>

<file path=xl/charts/colors21.xml><?xml version="1.0" encoding="utf-8"?>
<cs:colorStyle xmlns:cs="http://schemas.microsoft.com/office/drawing/2012/chartStyle" xmlns:a="http://schemas.openxmlformats.org/drawingml/2006/main" meth="withinLinear" id="19">
  <a:schemeClr val="accent6"/>
</cs:colorStyle>
</file>

<file path=xl/charts/colors22.xml><?xml version="1.0" encoding="utf-8"?>
<cs:colorStyle xmlns:cs="http://schemas.microsoft.com/office/drawing/2012/chartStyle" xmlns:a="http://schemas.openxmlformats.org/drawingml/2006/main" meth="withinLinear" id="19">
  <a:schemeClr val="accent6"/>
</cs:colorStyle>
</file>

<file path=xl/charts/colors23.xml><?xml version="1.0" encoding="utf-8"?>
<cs:colorStyle xmlns:cs="http://schemas.microsoft.com/office/drawing/2012/chartStyle" xmlns:a="http://schemas.openxmlformats.org/drawingml/2006/main" meth="withinLinear" id="19">
  <a:schemeClr val="accent6"/>
</cs:colorStyle>
</file>

<file path=xl/charts/colors24.xml><?xml version="1.0" encoding="utf-8"?>
<cs:colorStyle xmlns:cs="http://schemas.microsoft.com/office/drawing/2012/chartStyle" xmlns:a="http://schemas.openxmlformats.org/drawingml/2006/main" meth="withinLinear" id="19">
  <a:schemeClr val="accent6"/>
</cs:colorStyle>
</file>

<file path=xl/charts/colors25.xml><?xml version="1.0" encoding="utf-8"?>
<cs:colorStyle xmlns:cs="http://schemas.microsoft.com/office/drawing/2012/chartStyle" xmlns:a="http://schemas.openxmlformats.org/drawingml/2006/main" meth="withinLinear" id="19">
  <a:schemeClr val="accent6"/>
</cs:colorStyle>
</file>

<file path=xl/charts/colors2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415925</xdr:colOff>
      <xdr:row>116</xdr:row>
      <xdr:rowOff>63500</xdr:rowOff>
    </xdr:from>
    <xdr:to>
      <xdr:col>0</xdr:col>
      <xdr:colOff>4987925</xdr:colOff>
      <xdr:row>131</xdr:row>
      <xdr:rowOff>133350</xdr:rowOff>
    </xdr:to>
    <xdr:graphicFrame macro="">
      <xdr:nvGraphicFramePr>
        <xdr:cNvPr id="2" name="Chart 1">
          <a:extLst>
            <a:ext uri="{FF2B5EF4-FFF2-40B4-BE49-F238E27FC236}">
              <a16:creationId xmlns:a16="http://schemas.microsoft.com/office/drawing/2014/main" id="{CBF99FF0-0A22-4DE8-6D34-AC2945774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3508375</xdr:colOff>
      <xdr:row>64</xdr:row>
      <xdr:rowOff>165100</xdr:rowOff>
    </xdr:from>
    <xdr:to>
      <xdr:col>2</xdr:col>
      <xdr:colOff>644525</xdr:colOff>
      <xdr:row>129</xdr:row>
      <xdr:rowOff>146050</xdr:rowOff>
    </xdr:to>
    <xdr:graphicFrame macro="">
      <xdr:nvGraphicFramePr>
        <xdr:cNvPr id="2" name="Chart 1">
          <a:extLst>
            <a:ext uri="{FF2B5EF4-FFF2-40B4-BE49-F238E27FC236}">
              <a16:creationId xmlns:a16="http://schemas.microsoft.com/office/drawing/2014/main" id="{33EA8940-BC08-4A2F-30ED-F606ED79D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1708150</xdr:colOff>
      <xdr:row>115</xdr:row>
      <xdr:rowOff>50800</xdr:rowOff>
    </xdr:from>
    <xdr:to>
      <xdr:col>2</xdr:col>
      <xdr:colOff>187325</xdr:colOff>
      <xdr:row>130</xdr:row>
      <xdr:rowOff>31750</xdr:rowOff>
    </xdr:to>
    <xdr:graphicFrame macro="">
      <xdr:nvGraphicFramePr>
        <xdr:cNvPr id="3" name="Chart 2">
          <a:extLst>
            <a:ext uri="{FF2B5EF4-FFF2-40B4-BE49-F238E27FC236}">
              <a16:creationId xmlns:a16="http://schemas.microsoft.com/office/drawing/2014/main" id="{0185BE4E-3538-EE6D-69C1-29B8B646A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3902075</xdr:colOff>
      <xdr:row>23</xdr:row>
      <xdr:rowOff>165100</xdr:rowOff>
    </xdr:from>
    <xdr:to>
      <xdr:col>4</xdr:col>
      <xdr:colOff>73025</xdr:colOff>
      <xdr:row>130</xdr:row>
      <xdr:rowOff>146050</xdr:rowOff>
    </xdr:to>
    <xdr:graphicFrame macro="">
      <xdr:nvGraphicFramePr>
        <xdr:cNvPr id="2" name="Chart 1">
          <a:extLst>
            <a:ext uri="{FF2B5EF4-FFF2-40B4-BE49-F238E27FC236}">
              <a16:creationId xmlns:a16="http://schemas.microsoft.com/office/drawing/2014/main" id="{1501BCA6-EDD3-9D24-7E1B-6F7418503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113195</xdr:colOff>
      <xdr:row>118</xdr:row>
      <xdr:rowOff>64053</xdr:rowOff>
    </xdr:from>
    <xdr:to>
      <xdr:col>0</xdr:col>
      <xdr:colOff>4685195</xdr:colOff>
      <xdr:row>133</xdr:row>
      <xdr:rowOff>73992</xdr:rowOff>
    </xdr:to>
    <xdr:graphicFrame macro="">
      <xdr:nvGraphicFramePr>
        <xdr:cNvPr id="2" name="Chart 1">
          <a:extLst>
            <a:ext uri="{FF2B5EF4-FFF2-40B4-BE49-F238E27FC236}">
              <a16:creationId xmlns:a16="http://schemas.microsoft.com/office/drawing/2014/main" id="{E5F21843-1349-6F67-080E-B8C5755AA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4724400</xdr:colOff>
      <xdr:row>1</xdr:row>
      <xdr:rowOff>82550</xdr:rowOff>
    </xdr:from>
    <xdr:to>
      <xdr:col>4</xdr:col>
      <xdr:colOff>539750</xdr:colOff>
      <xdr:row>13</xdr:row>
      <xdr:rowOff>107950</xdr:rowOff>
    </xdr:to>
    <xdr:graphicFrame macro="">
      <xdr:nvGraphicFramePr>
        <xdr:cNvPr id="3" name="Chart 2">
          <a:extLst>
            <a:ext uri="{FF2B5EF4-FFF2-40B4-BE49-F238E27FC236}">
              <a16:creationId xmlns:a16="http://schemas.microsoft.com/office/drawing/2014/main" id="{C21B2CAE-6771-5B30-602B-3E0473B59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88900</xdr:colOff>
      <xdr:row>1</xdr:row>
      <xdr:rowOff>114300</xdr:rowOff>
    </xdr:from>
    <xdr:to>
      <xdr:col>0</xdr:col>
      <xdr:colOff>4591050</xdr:colOff>
      <xdr:row>16</xdr:row>
      <xdr:rowOff>76200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EA43305-6318-8DB4-64DF-12DE369B72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8900" y="349250"/>
              <a:ext cx="4502150" cy="2724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2460625</xdr:colOff>
      <xdr:row>16</xdr:row>
      <xdr:rowOff>114300</xdr:rowOff>
    </xdr:from>
    <xdr:to>
      <xdr:col>2</xdr:col>
      <xdr:colOff>549275</xdr:colOff>
      <xdr:row>31</xdr:row>
      <xdr:rowOff>95250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E5389C1-B027-FADE-C716-2C5FF38553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60625" y="31115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1962150</xdr:colOff>
      <xdr:row>8</xdr:row>
      <xdr:rowOff>133350</xdr:rowOff>
    </xdr:from>
    <xdr:to>
      <xdr:col>2</xdr:col>
      <xdr:colOff>4838700</xdr:colOff>
      <xdr:row>16</xdr:row>
      <xdr:rowOff>165100</xdr:rowOff>
    </xdr:to>
    <xdr:graphicFrame macro="">
      <xdr:nvGraphicFramePr>
        <xdr:cNvPr id="2" name="Chart 1">
          <a:extLst>
            <a:ext uri="{FF2B5EF4-FFF2-40B4-BE49-F238E27FC236}">
              <a16:creationId xmlns:a16="http://schemas.microsoft.com/office/drawing/2014/main" id="{88706780-7148-4440-1BA9-46EDA740C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2</xdr:row>
      <xdr:rowOff>101600</xdr:rowOff>
    </xdr:from>
    <xdr:to>
      <xdr:col>3</xdr:col>
      <xdr:colOff>965200</xdr:colOff>
      <xdr:row>12</xdr:row>
      <xdr:rowOff>25400</xdr:rowOff>
    </xdr:to>
    <xdr:graphicFrame macro="">
      <xdr:nvGraphicFramePr>
        <xdr:cNvPr id="3" name="Chart 2">
          <a:extLst>
            <a:ext uri="{FF2B5EF4-FFF2-40B4-BE49-F238E27FC236}">
              <a16:creationId xmlns:a16="http://schemas.microsoft.com/office/drawing/2014/main" id="{3DE4A666-6D96-1435-E553-64E064E5A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107950</xdr:colOff>
      <xdr:row>2</xdr:row>
      <xdr:rowOff>88901</xdr:rowOff>
    </xdr:from>
    <xdr:to>
      <xdr:col>10</xdr:col>
      <xdr:colOff>260350</xdr:colOff>
      <xdr:row>11</xdr:row>
      <xdr:rowOff>44450</xdr:rowOff>
    </xdr:to>
    <mc:AlternateContent xmlns:mc="http://schemas.openxmlformats.org/markup-compatibility/2006" xmlns:a14="http://schemas.microsoft.com/office/drawing/2010/main">
      <mc:Choice Requires="a14">
        <xdr:graphicFrame macro="">
          <xdr:nvGraphicFramePr>
            <xdr:cNvPr id="4" name="Discount category">
              <a:extLst>
                <a:ext uri="{FF2B5EF4-FFF2-40B4-BE49-F238E27FC236}">
                  <a16:creationId xmlns:a16="http://schemas.microsoft.com/office/drawing/2014/main" id="{8D627534-28AB-5050-8C50-EB43D5F09870}"/>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7854950" y="457201"/>
              <a:ext cx="1828800" cy="1612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1047750</xdr:colOff>
      <xdr:row>18</xdr:row>
      <xdr:rowOff>136525</xdr:rowOff>
    </xdr:from>
    <xdr:to>
      <xdr:col>4</xdr:col>
      <xdr:colOff>355600</xdr:colOff>
      <xdr:row>30</xdr:row>
      <xdr:rowOff>0</xdr:rowOff>
    </xdr:to>
    <xdr:graphicFrame macro="">
      <xdr:nvGraphicFramePr>
        <xdr:cNvPr id="5" name="Chart 4">
          <a:extLst>
            <a:ext uri="{FF2B5EF4-FFF2-40B4-BE49-F238E27FC236}">
              <a16:creationId xmlns:a16="http://schemas.microsoft.com/office/drawing/2014/main" id="{62C78F9B-9C1A-6795-395B-0809E8CBA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539750</xdr:colOff>
      <xdr:row>18</xdr:row>
      <xdr:rowOff>69850</xdr:rowOff>
    </xdr:from>
    <xdr:to>
      <xdr:col>9</xdr:col>
      <xdr:colOff>76200</xdr:colOff>
      <xdr:row>31</xdr:row>
      <xdr:rowOff>31750</xdr:rowOff>
    </xdr:to>
    <xdr:graphicFrame macro="">
      <xdr:nvGraphicFramePr>
        <xdr:cNvPr id="6" name="Chart 5">
          <a:extLst>
            <a:ext uri="{FF2B5EF4-FFF2-40B4-BE49-F238E27FC236}">
              <a16:creationId xmlns:a16="http://schemas.microsoft.com/office/drawing/2014/main" id="{3453156A-EF6F-AC20-971C-377138DDD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1181100</xdr:colOff>
      <xdr:row>35</xdr:row>
      <xdr:rowOff>6350</xdr:rowOff>
    </xdr:from>
    <xdr:to>
      <xdr:col>2</xdr:col>
      <xdr:colOff>4800600</xdr:colOff>
      <xdr:row>47</xdr:row>
      <xdr:rowOff>12700</xdr:rowOff>
    </xdr:to>
    <xdr:graphicFrame macro="">
      <xdr:nvGraphicFramePr>
        <xdr:cNvPr id="7" name="Chart 6">
          <a:extLst>
            <a:ext uri="{FF2B5EF4-FFF2-40B4-BE49-F238E27FC236}">
              <a16:creationId xmlns:a16="http://schemas.microsoft.com/office/drawing/2014/main" id="{CDEF0829-2B83-21E8-EDFB-5D44854E5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1047750</xdr:colOff>
      <xdr:row>44</xdr:row>
      <xdr:rowOff>12700</xdr:rowOff>
    </xdr:from>
    <xdr:to>
      <xdr:col>6</xdr:col>
      <xdr:colOff>171450</xdr:colOff>
      <xdr:row>57</xdr:row>
      <xdr:rowOff>57150</xdr:rowOff>
    </xdr:to>
    <xdr:graphicFrame macro="">
      <xdr:nvGraphicFramePr>
        <xdr:cNvPr id="8" name="Chart 7">
          <a:extLst>
            <a:ext uri="{FF2B5EF4-FFF2-40B4-BE49-F238E27FC236}">
              <a16:creationId xmlns:a16="http://schemas.microsoft.com/office/drawing/2014/main" id="{44E20C5E-B22E-EB06-7ACF-41DFB4C7F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222250</xdr:colOff>
      <xdr:row>71</xdr:row>
      <xdr:rowOff>95250</xdr:rowOff>
    </xdr:from>
    <xdr:to>
      <xdr:col>9</xdr:col>
      <xdr:colOff>393700</xdr:colOff>
      <xdr:row>84</xdr:row>
      <xdr:rowOff>6350</xdr:rowOff>
    </xdr:to>
    <xdr:graphicFrame macro="">
      <xdr:nvGraphicFramePr>
        <xdr:cNvPr id="9" name="Chart 8">
          <a:extLst>
            <a:ext uri="{FF2B5EF4-FFF2-40B4-BE49-F238E27FC236}">
              <a16:creationId xmlns:a16="http://schemas.microsoft.com/office/drawing/2014/main" id="{498C1043-B706-B3AA-980B-6F76D1F3F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1028700</xdr:colOff>
      <xdr:row>2</xdr:row>
      <xdr:rowOff>158751</xdr:rowOff>
    </xdr:from>
    <xdr:to>
      <xdr:col>7</xdr:col>
      <xdr:colOff>361950</xdr:colOff>
      <xdr:row>11</xdr:row>
      <xdr:rowOff>114300</xdr:rowOff>
    </xdr:to>
    <mc:AlternateContent xmlns:mc="http://schemas.openxmlformats.org/markup-compatibility/2006" xmlns:a14="http://schemas.microsoft.com/office/drawing/2010/main">
      <mc:Choice Requires="a14">
        <xdr:graphicFrame macro="">
          <xdr:nvGraphicFramePr>
            <xdr:cNvPr id="10" name="Rating Category">
              <a:extLst>
                <a:ext uri="{FF2B5EF4-FFF2-40B4-BE49-F238E27FC236}">
                  <a16:creationId xmlns:a16="http://schemas.microsoft.com/office/drawing/2014/main" id="{027E4817-2546-3BD3-824A-CBC42C6B0F0C}"/>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5327650" y="527051"/>
              <a:ext cx="1828800" cy="1612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476250</xdr:colOff>
      <xdr:row>2</xdr:row>
      <xdr:rowOff>19051</xdr:rowOff>
    </xdr:from>
    <xdr:to>
      <xdr:col>14</xdr:col>
      <xdr:colOff>476250</xdr:colOff>
      <xdr:row>10</xdr:row>
      <xdr:rowOff>171450</xdr:rowOff>
    </xdr:to>
    <mc:AlternateContent xmlns:mc="http://schemas.openxmlformats.org/markup-compatibility/2006" xmlns:a14="http://schemas.microsoft.com/office/drawing/2010/main">
      <mc:Choice Requires="a14">
        <xdr:graphicFrame macro="">
          <xdr:nvGraphicFramePr>
            <xdr:cNvPr id="11" name="Price Category">
              <a:extLst>
                <a:ext uri="{FF2B5EF4-FFF2-40B4-BE49-F238E27FC236}">
                  <a16:creationId xmlns:a16="http://schemas.microsoft.com/office/drawing/2014/main" id="{259A3F9C-968D-803F-8362-9B55333B8D6A}"/>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10509250" y="387351"/>
              <a:ext cx="1828800" cy="1625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304800</xdr:colOff>
      <xdr:row>86</xdr:row>
      <xdr:rowOff>44450</xdr:rowOff>
    </xdr:from>
    <xdr:to>
      <xdr:col>8</xdr:col>
      <xdr:colOff>374650</xdr:colOff>
      <xdr:row>98</xdr:row>
      <xdr:rowOff>133350</xdr:rowOff>
    </xdr:to>
    <xdr:graphicFrame macro="">
      <xdr:nvGraphicFramePr>
        <xdr:cNvPr id="12" name="Chart 11">
          <a:extLst>
            <a:ext uri="{FF2B5EF4-FFF2-40B4-BE49-F238E27FC236}">
              <a16:creationId xmlns:a16="http://schemas.microsoft.com/office/drawing/2014/main" id="{98E23B3E-E59D-5445-7C74-A0CE8EBF3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127000</xdr:colOff>
      <xdr:row>101</xdr:row>
      <xdr:rowOff>114300</xdr:rowOff>
    </xdr:from>
    <xdr:to>
      <xdr:col>7</xdr:col>
      <xdr:colOff>469900</xdr:colOff>
      <xdr:row>112</xdr:row>
      <xdr:rowOff>120650</xdr:rowOff>
    </xdr:to>
    <xdr:graphicFrame macro="">
      <xdr:nvGraphicFramePr>
        <xdr:cNvPr id="13" name="Chart 12">
          <a:extLst>
            <a:ext uri="{FF2B5EF4-FFF2-40B4-BE49-F238E27FC236}">
              <a16:creationId xmlns:a16="http://schemas.microsoft.com/office/drawing/2014/main" id="{643D7BD1-7228-B182-339A-31B3DE016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133350</xdr:colOff>
      <xdr:row>11</xdr:row>
      <xdr:rowOff>98425</xdr:rowOff>
    </xdr:from>
    <xdr:to>
      <xdr:col>6</xdr:col>
      <xdr:colOff>546100</xdr:colOff>
      <xdr:row>20</xdr:row>
      <xdr:rowOff>76200</xdr:rowOff>
    </xdr:to>
    <xdr:graphicFrame macro="">
      <xdr:nvGraphicFramePr>
        <xdr:cNvPr id="14" name="Chart 13">
          <a:extLst>
            <a:ext uri="{FF2B5EF4-FFF2-40B4-BE49-F238E27FC236}">
              <a16:creationId xmlns:a16="http://schemas.microsoft.com/office/drawing/2014/main" id="{CF85BF6D-DBD4-DD89-AD9D-C1B869279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2000250</xdr:colOff>
      <xdr:row>0</xdr:row>
      <xdr:rowOff>139700</xdr:rowOff>
    </xdr:from>
    <xdr:to>
      <xdr:col>4</xdr:col>
      <xdr:colOff>476250</xdr:colOff>
      <xdr:row>2</xdr:row>
      <xdr:rowOff>152400</xdr:rowOff>
    </xdr:to>
    <xdr:sp macro="" textlink="">
      <xdr:nvSpPr>
        <xdr:cNvPr id="2" name="Rectangle: Rounded Corners 1">
          <a:extLst>
            <a:ext uri="{FF2B5EF4-FFF2-40B4-BE49-F238E27FC236}">
              <a16:creationId xmlns:a16="http://schemas.microsoft.com/office/drawing/2014/main" id="{CBBB5698-0CE3-D3DD-FE90-3806DA44C49B}"/>
            </a:ext>
          </a:extLst>
        </xdr:cNvPr>
        <xdr:cNvSpPr/>
      </xdr:nvSpPr>
      <xdr:spPr>
        <a:xfrm>
          <a:off x="2000250" y="139700"/>
          <a:ext cx="6877050" cy="43180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accent6">
                  <a:lumMod val="50000"/>
                </a:schemeClr>
              </a:solidFill>
            </a:rPr>
            <a:t>JUMIA E COMMERCE</a:t>
          </a:r>
          <a:r>
            <a:rPr lang="en-US" sz="1400" b="1" baseline="0">
              <a:solidFill>
                <a:schemeClr val="accent6">
                  <a:lumMod val="50000"/>
                </a:schemeClr>
              </a:solidFill>
            </a:rPr>
            <a:t> PRODUCT PERFOMANCE AND CUSTOMER INSIGHTS DASHBOARD</a:t>
          </a:r>
          <a:endParaRPr lang="en-US" sz="1400" b="1">
            <a:solidFill>
              <a:schemeClr val="accent6">
                <a:lumMod val="50000"/>
              </a:schemeClr>
            </a:solidFill>
          </a:endParaRPr>
        </a:p>
      </xdr:txBody>
    </xdr:sp>
    <xdr:clientData/>
  </xdr:twoCellAnchor>
  <xdr:twoCellAnchor>
    <xdr:from>
      <xdr:col>0</xdr:col>
      <xdr:colOff>1295400</xdr:colOff>
      <xdr:row>4</xdr:row>
      <xdr:rowOff>120650</xdr:rowOff>
    </xdr:from>
    <xdr:to>
      <xdr:col>0</xdr:col>
      <xdr:colOff>2768600</xdr:colOff>
      <xdr:row>7</xdr:row>
      <xdr:rowOff>6350</xdr:rowOff>
    </xdr:to>
    <xdr:sp macro="" textlink="">
      <xdr:nvSpPr>
        <xdr:cNvPr id="3" name="Rectangle: Rounded Corners 2">
          <a:extLst>
            <a:ext uri="{FF2B5EF4-FFF2-40B4-BE49-F238E27FC236}">
              <a16:creationId xmlns:a16="http://schemas.microsoft.com/office/drawing/2014/main" id="{F199F091-69CF-B86C-B9A1-240728AD293B}"/>
            </a:ext>
          </a:extLst>
        </xdr:cNvPr>
        <xdr:cNvSpPr/>
      </xdr:nvSpPr>
      <xdr:spPr>
        <a:xfrm>
          <a:off x="1295400" y="908050"/>
          <a:ext cx="1473200" cy="43815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6">
                  <a:lumMod val="50000"/>
                </a:schemeClr>
              </a:solidFill>
            </a:rPr>
            <a:t>Total Products=113</a:t>
          </a:r>
        </a:p>
      </xdr:txBody>
    </xdr:sp>
    <xdr:clientData/>
  </xdr:twoCellAnchor>
  <xdr:twoCellAnchor>
    <xdr:from>
      <xdr:col>3</xdr:col>
      <xdr:colOff>901700</xdr:colOff>
      <xdr:row>4</xdr:row>
      <xdr:rowOff>69850</xdr:rowOff>
    </xdr:from>
    <xdr:to>
      <xdr:col>5</xdr:col>
      <xdr:colOff>977900</xdr:colOff>
      <xdr:row>6</xdr:row>
      <xdr:rowOff>133350</xdr:rowOff>
    </xdr:to>
    <xdr:sp macro="" textlink="">
      <xdr:nvSpPr>
        <xdr:cNvPr id="4" name="Rectangle: Rounded Corners 3">
          <a:extLst>
            <a:ext uri="{FF2B5EF4-FFF2-40B4-BE49-F238E27FC236}">
              <a16:creationId xmlns:a16="http://schemas.microsoft.com/office/drawing/2014/main" id="{7EF3278C-87EE-43B9-BE1F-F585C1DEA437}"/>
            </a:ext>
          </a:extLst>
        </xdr:cNvPr>
        <xdr:cNvSpPr/>
      </xdr:nvSpPr>
      <xdr:spPr>
        <a:xfrm>
          <a:off x="8166100" y="857250"/>
          <a:ext cx="1936750" cy="43180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6">
                  <a:lumMod val="50000"/>
                </a:schemeClr>
              </a:solidFill>
            </a:rPr>
            <a:t>Average Discount=626.25</a:t>
          </a:r>
        </a:p>
      </xdr:txBody>
    </xdr:sp>
    <xdr:clientData/>
  </xdr:twoCellAnchor>
  <xdr:twoCellAnchor>
    <xdr:from>
      <xdr:col>1</xdr:col>
      <xdr:colOff>889000</xdr:colOff>
      <xdr:row>4</xdr:row>
      <xdr:rowOff>88900</xdr:rowOff>
    </xdr:from>
    <xdr:to>
      <xdr:col>3</xdr:col>
      <xdr:colOff>342900</xdr:colOff>
      <xdr:row>6</xdr:row>
      <xdr:rowOff>152400</xdr:rowOff>
    </xdr:to>
    <xdr:sp macro="" textlink="">
      <xdr:nvSpPr>
        <xdr:cNvPr id="5" name="Rectangle: Rounded Corners 4">
          <a:extLst>
            <a:ext uri="{FF2B5EF4-FFF2-40B4-BE49-F238E27FC236}">
              <a16:creationId xmlns:a16="http://schemas.microsoft.com/office/drawing/2014/main" id="{A00BB332-4679-4923-8EED-D4AF619E9C54}"/>
            </a:ext>
          </a:extLst>
        </xdr:cNvPr>
        <xdr:cNvSpPr/>
      </xdr:nvSpPr>
      <xdr:spPr>
        <a:xfrm>
          <a:off x="6083300" y="876300"/>
          <a:ext cx="1524000" cy="43180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6">
                  <a:lumMod val="50000"/>
                </a:schemeClr>
              </a:solidFill>
            </a:rPr>
            <a:t>Total Reviews=723</a:t>
          </a:r>
        </a:p>
      </xdr:txBody>
    </xdr:sp>
    <xdr:clientData/>
  </xdr:twoCellAnchor>
  <xdr:twoCellAnchor>
    <xdr:from>
      <xdr:col>0</xdr:col>
      <xdr:colOff>3708400</xdr:colOff>
      <xdr:row>4</xdr:row>
      <xdr:rowOff>101600</xdr:rowOff>
    </xdr:from>
    <xdr:to>
      <xdr:col>1</xdr:col>
      <xdr:colOff>222250</xdr:colOff>
      <xdr:row>6</xdr:row>
      <xdr:rowOff>165100</xdr:rowOff>
    </xdr:to>
    <xdr:sp macro="" textlink="">
      <xdr:nvSpPr>
        <xdr:cNvPr id="6" name="Rectangle: Rounded Corners 5">
          <a:extLst>
            <a:ext uri="{FF2B5EF4-FFF2-40B4-BE49-F238E27FC236}">
              <a16:creationId xmlns:a16="http://schemas.microsoft.com/office/drawing/2014/main" id="{B263836B-0ED8-4878-BD63-C522D4069757}"/>
            </a:ext>
          </a:extLst>
        </xdr:cNvPr>
        <xdr:cNvSpPr/>
      </xdr:nvSpPr>
      <xdr:spPr>
        <a:xfrm>
          <a:off x="3708400" y="889000"/>
          <a:ext cx="1708150" cy="43180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6">
                  <a:lumMod val="50000"/>
                </a:schemeClr>
              </a:solidFill>
            </a:rPr>
            <a:t>Average Rating=3.889</a:t>
          </a:r>
        </a:p>
      </xdr:txBody>
    </xdr:sp>
    <xdr:clientData/>
  </xdr:twoCellAnchor>
  <xdr:twoCellAnchor editAs="oneCell">
    <xdr:from>
      <xdr:col>0</xdr:col>
      <xdr:colOff>177800</xdr:colOff>
      <xdr:row>7</xdr:row>
      <xdr:rowOff>50800</xdr:rowOff>
    </xdr:from>
    <xdr:to>
      <xdr:col>0</xdr:col>
      <xdr:colOff>1739900</xdr:colOff>
      <xdr:row>15</xdr:row>
      <xdr:rowOff>25399</xdr:rowOff>
    </xdr:to>
    <mc:AlternateContent xmlns:mc="http://schemas.openxmlformats.org/markup-compatibility/2006" xmlns:a14="http://schemas.microsoft.com/office/drawing/2010/main">
      <mc:Choice Requires="a14">
        <xdr:graphicFrame macro="">
          <xdr:nvGraphicFramePr>
            <xdr:cNvPr id="13" name="Price Category 1">
              <a:extLst>
                <a:ext uri="{FF2B5EF4-FFF2-40B4-BE49-F238E27FC236}">
                  <a16:creationId xmlns:a16="http://schemas.microsoft.com/office/drawing/2014/main" id="{01127EE3-5EBF-48CA-893F-66090E213B63}"/>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mlns="">
        <xdr:sp macro="" textlink="">
          <xdr:nvSpPr>
            <xdr:cNvPr id="0" name=""/>
            <xdr:cNvSpPr>
              <a:spLocks noTextEdit="1"/>
            </xdr:cNvSpPr>
          </xdr:nvSpPr>
          <xdr:spPr>
            <a:xfrm>
              <a:off x="177800" y="1390650"/>
              <a:ext cx="1562100"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317500</xdr:colOff>
      <xdr:row>7</xdr:row>
      <xdr:rowOff>57150</xdr:rowOff>
    </xdr:from>
    <xdr:to>
      <xdr:col>5</xdr:col>
      <xdr:colOff>1276350</xdr:colOff>
      <xdr:row>16</xdr:row>
      <xdr:rowOff>12700</xdr:rowOff>
    </xdr:to>
    <mc:AlternateContent xmlns:mc="http://schemas.openxmlformats.org/markup-compatibility/2006" xmlns:a14="http://schemas.microsoft.com/office/drawing/2010/main">
      <mc:Choice Requires="a14">
        <xdr:graphicFrame macro="">
          <xdr:nvGraphicFramePr>
            <xdr:cNvPr id="14" name="Rating Category 1">
              <a:extLst>
                <a:ext uri="{FF2B5EF4-FFF2-40B4-BE49-F238E27FC236}">
                  <a16:creationId xmlns:a16="http://schemas.microsoft.com/office/drawing/2014/main" id="{4E4820AF-23C3-42F7-9EB7-591D73A8291D}"/>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8718550" y="1397000"/>
              <a:ext cx="1682750" cy="1612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2127250</xdr:colOff>
      <xdr:row>7</xdr:row>
      <xdr:rowOff>95251</xdr:rowOff>
    </xdr:from>
    <xdr:to>
      <xdr:col>0</xdr:col>
      <xdr:colOff>3714750</xdr:colOff>
      <xdr:row>15</xdr:row>
      <xdr:rowOff>12700</xdr:rowOff>
    </xdr:to>
    <mc:AlternateContent xmlns:mc="http://schemas.openxmlformats.org/markup-compatibility/2006" xmlns:a14="http://schemas.microsoft.com/office/drawing/2010/main">
      <mc:Choice Requires="a14">
        <xdr:graphicFrame macro="">
          <xdr:nvGraphicFramePr>
            <xdr:cNvPr id="15" name="Discount category 1">
              <a:extLst>
                <a:ext uri="{FF2B5EF4-FFF2-40B4-BE49-F238E27FC236}">
                  <a16:creationId xmlns:a16="http://schemas.microsoft.com/office/drawing/2014/main" id="{4C51CB01-402E-46F7-A577-FE571E83A1C5}"/>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2127250" y="1435101"/>
              <a:ext cx="1587500" cy="1390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3848100</xdr:colOff>
      <xdr:row>7</xdr:row>
      <xdr:rowOff>76200</xdr:rowOff>
    </xdr:from>
    <xdr:to>
      <xdr:col>4</xdr:col>
      <xdr:colOff>101600</xdr:colOff>
      <xdr:row>18</xdr:row>
      <xdr:rowOff>82550</xdr:rowOff>
    </xdr:to>
    <xdr:graphicFrame macro="">
      <xdr:nvGraphicFramePr>
        <xdr:cNvPr id="17" name="Chart 16">
          <a:extLst>
            <a:ext uri="{FF2B5EF4-FFF2-40B4-BE49-F238E27FC236}">
              <a16:creationId xmlns:a16="http://schemas.microsoft.com/office/drawing/2014/main" id="{C9EBFD7E-6193-4FA9-A480-2B59FF4FE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482600</xdr:colOff>
      <xdr:row>18</xdr:row>
      <xdr:rowOff>158750</xdr:rowOff>
    </xdr:from>
    <xdr:to>
      <xdr:col>0</xdr:col>
      <xdr:colOff>4279900</xdr:colOff>
      <xdr:row>31</xdr:row>
      <xdr:rowOff>69850</xdr:rowOff>
    </xdr:to>
    <xdr:graphicFrame macro="">
      <xdr:nvGraphicFramePr>
        <xdr:cNvPr id="18" name="Chart 17">
          <a:extLst>
            <a:ext uri="{FF2B5EF4-FFF2-40B4-BE49-F238E27FC236}">
              <a16:creationId xmlns:a16="http://schemas.microsoft.com/office/drawing/2014/main" id="{464E34AB-A01D-43AE-ACE1-24AFC0951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4483100</xdr:colOff>
      <xdr:row>18</xdr:row>
      <xdr:rowOff>146050</xdr:rowOff>
    </xdr:from>
    <xdr:to>
      <xdr:col>3</xdr:col>
      <xdr:colOff>1028700</xdr:colOff>
      <xdr:row>29</xdr:row>
      <xdr:rowOff>165100</xdr:rowOff>
    </xdr:to>
    <xdr:graphicFrame macro="">
      <xdr:nvGraphicFramePr>
        <xdr:cNvPr id="21" name="Chart 20">
          <a:extLst>
            <a:ext uri="{FF2B5EF4-FFF2-40B4-BE49-F238E27FC236}">
              <a16:creationId xmlns:a16="http://schemas.microsoft.com/office/drawing/2014/main" id="{4F18BCBB-D6DA-41FB-8A54-28A9DC6A6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800100</xdr:colOff>
      <xdr:row>31</xdr:row>
      <xdr:rowOff>158750</xdr:rowOff>
    </xdr:from>
    <xdr:to>
      <xdr:col>0</xdr:col>
      <xdr:colOff>4210050</xdr:colOff>
      <xdr:row>43</xdr:row>
      <xdr:rowOff>22225</xdr:rowOff>
    </xdr:to>
    <xdr:graphicFrame macro="">
      <xdr:nvGraphicFramePr>
        <xdr:cNvPr id="22" name="Chart 21">
          <a:extLst>
            <a:ext uri="{FF2B5EF4-FFF2-40B4-BE49-F238E27FC236}">
              <a16:creationId xmlns:a16="http://schemas.microsoft.com/office/drawing/2014/main" id="{D0198678-C4CF-403E-9632-A7B89ED02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4533900</xdr:colOff>
      <xdr:row>30</xdr:row>
      <xdr:rowOff>50800</xdr:rowOff>
    </xdr:from>
    <xdr:to>
      <xdr:col>3</xdr:col>
      <xdr:colOff>444500</xdr:colOff>
      <xdr:row>41</xdr:row>
      <xdr:rowOff>146050</xdr:rowOff>
    </xdr:to>
    <xdr:graphicFrame macro="">
      <xdr:nvGraphicFramePr>
        <xdr:cNvPr id="23" name="Chart 22">
          <a:extLst>
            <a:ext uri="{FF2B5EF4-FFF2-40B4-BE49-F238E27FC236}">
              <a16:creationId xmlns:a16="http://schemas.microsoft.com/office/drawing/2014/main" id="{05C26242-24D2-422D-BCBC-38D09F353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1035050</xdr:colOff>
      <xdr:row>30</xdr:row>
      <xdr:rowOff>25400</xdr:rowOff>
    </xdr:from>
    <xdr:to>
      <xdr:col>6</xdr:col>
      <xdr:colOff>596900</xdr:colOff>
      <xdr:row>41</xdr:row>
      <xdr:rowOff>31750</xdr:rowOff>
    </xdr:to>
    <xdr:graphicFrame macro="">
      <xdr:nvGraphicFramePr>
        <xdr:cNvPr id="24" name="Chart 23">
          <a:extLst>
            <a:ext uri="{FF2B5EF4-FFF2-40B4-BE49-F238E27FC236}">
              <a16:creationId xmlns:a16="http://schemas.microsoft.com/office/drawing/2014/main" id="{EA0C2D56-4372-4E4C-A279-05C4B9986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1130300</xdr:colOff>
      <xdr:row>19</xdr:row>
      <xdr:rowOff>12700</xdr:rowOff>
    </xdr:from>
    <xdr:to>
      <xdr:col>6</xdr:col>
      <xdr:colOff>158750</xdr:colOff>
      <xdr:row>29</xdr:row>
      <xdr:rowOff>152400</xdr:rowOff>
    </xdr:to>
    <xdr:graphicFrame macro="">
      <xdr:nvGraphicFramePr>
        <xdr:cNvPr id="25" name="Chart 24">
          <a:extLst>
            <a:ext uri="{FF2B5EF4-FFF2-40B4-BE49-F238E27FC236}">
              <a16:creationId xmlns:a16="http://schemas.microsoft.com/office/drawing/2014/main" id="{41DCFCC5-1424-4E52-BA1E-BB9017D6C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2051050</xdr:colOff>
      <xdr:row>43</xdr:row>
      <xdr:rowOff>57150</xdr:rowOff>
    </xdr:from>
    <xdr:to>
      <xdr:col>0</xdr:col>
      <xdr:colOff>4349750</xdr:colOff>
      <xdr:row>54</xdr:row>
      <xdr:rowOff>0</xdr:rowOff>
    </xdr:to>
    <xdr:graphicFrame macro="">
      <xdr:nvGraphicFramePr>
        <xdr:cNvPr id="26" name="Chart 25">
          <a:extLst>
            <a:ext uri="{FF2B5EF4-FFF2-40B4-BE49-F238E27FC236}">
              <a16:creationId xmlns:a16="http://schemas.microsoft.com/office/drawing/2014/main" id="{7F473AEE-9EB6-488E-A35E-E39579F3B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4533900</xdr:colOff>
      <xdr:row>42</xdr:row>
      <xdr:rowOff>69850</xdr:rowOff>
    </xdr:from>
    <xdr:to>
      <xdr:col>2</xdr:col>
      <xdr:colOff>374650</xdr:colOff>
      <xdr:row>54</xdr:row>
      <xdr:rowOff>31750</xdr:rowOff>
    </xdr:to>
    <xdr:sp macro="" textlink="">
      <xdr:nvSpPr>
        <xdr:cNvPr id="27" name="Rectangle 26">
          <a:extLst>
            <a:ext uri="{FF2B5EF4-FFF2-40B4-BE49-F238E27FC236}">
              <a16:creationId xmlns:a16="http://schemas.microsoft.com/office/drawing/2014/main" id="{901CC198-ADA3-A390-EEA9-0B253D96DA0B}"/>
            </a:ext>
          </a:extLst>
        </xdr:cNvPr>
        <xdr:cNvSpPr/>
      </xdr:nvSpPr>
      <xdr:spPr>
        <a:xfrm>
          <a:off x="4533900" y="7854950"/>
          <a:ext cx="2324100" cy="217170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solidFill>
                <a:schemeClr val="accent6">
                  <a:lumMod val="50000"/>
                </a:schemeClr>
              </a:solidFill>
            </a:rPr>
            <a:t>KEY INSIGHTS</a:t>
          </a:r>
        </a:p>
        <a:p>
          <a:pPr algn="ctr"/>
          <a:r>
            <a:rPr lang="en-US" sz="1200" b="1">
              <a:solidFill>
                <a:schemeClr val="accent6">
                  <a:lumMod val="50000"/>
                </a:schemeClr>
              </a:solidFill>
            </a:rPr>
            <a:t>1.High rated products represent</a:t>
          </a:r>
          <a:r>
            <a:rPr lang="en-US" sz="1200" b="1" baseline="0">
              <a:solidFill>
                <a:schemeClr val="accent6">
                  <a:lumMod val="50000"/>
                </a:schemeClr>
              </a:solidFill>
            </a:rPr>
            <a:t> potential opportunities</a:t>
          </a:r>
        </a:p>
        <a:p>
          <a:pPr algn="ctr"/>
          <a:r>
            <a:rPr lang="en-US" sz="1200" b="1" baseline="0">
              <a:solidFill>
                <a:schemeClr val="accent6">
                  <a:lumMod val="50000"/>
                </a:schemeClr>
              </a:solidFill>
            </a:rPr>
            <a:t>2.High prices do not guarantee higher ratings</a:t>
          </a:r>
        </a:p>
        <a:p>
          <a:pPr algn="ctr"/>
          <a:r>
            <a:rPr lang="en-US" sz="1200" b="1" baseline="0">
              <a:solidFill>
                <a:schemeClr val="accent6">
                  <a:lumMod val="50000"/>
                </a:schemeClr>
              </a:solidFill>
            </a:rPr>
            <a:t>3.High discount and low rated products deserve attention</a:t>
          </a:r>
        </a:p>
        <a:p>
          <a:pPr algn="ctr"/>
          <a:r>
            <a:rPr lang="en-US" sz="1200" b="1" baseline="0">
              <a:solidFill>
                <a:schemeClr val="accent6">
                  <a:lumMod val="50000"/>
                </a:schemeClr>
              </a:solidFill>
            </a:rPr>
            <a:t>4.High customer engagement does not always mean high satisfaction</a:t>
          </a:r>
          <a:endParaRPr lang="en-US" sz="1200" b="1">
            <a:solidFill>
              <a:schemeClr val="accent6">
                <a:lumMod val="50000"/>
              </a:schemeClr>
            </a:solidFill>
          </a:endParaRPr>
        </a:p>
        <a:p>
          <a:pPr algn="ctr"/>
          <a:endParaRPr lang="en-US" sz="1200" b="1">
            <a:solidFill>
              <a:schemeClr val="accent6">
                <a:lumMod val="50000"/>
              </a:schemeClr>
            </a:solidFill>
          </a:endParaRPr>
        </a:p>
      </xdr:txBody>
    </xdr:sp>
    <xdr:clientData/>
  </xdr:twoCellAnchor>
  <xdr:twoCellAnchor>
    <xdr:from>
      <xdr:col>2</xdr:col>
      <xdr:colOff>641350</xdr:colOff>
      <xdr:row>42</xdr:row>
      <xdr:rowOff>63500</xdr:rowOff>
    </xdr:from>
    <xdr:to>
      <xdr:col>5</xdr:col>
      <xdr:colOff>400050</xdr:colOff>
      <xdr:row>54</xdr:row>
      <xdr:rowOff>82550</xdr:rowOff>
    </xdr:to>
    <xdr:sp macro="" textlink="">
      <xdr:nvSpPr>
        <xdr:cNvPr id="28" name="Rectangle 27">
          <a:extLst>
            <a:ext uri="{FF2B5EF4-FFF2-40B4-BE49-F238E27FC236}">
              <a16:creationId xmlns:a16="http://schemas.microsoft.com/office/drawing/2014/main" id="{CCA3B664-88A8-4459-BA84-39ED10C39857}"/>
            </a:ext>
          </a:extLst>
        </xdr:cNvPr>
        <xdr:cNvSpPr/>
      </xdr:nvSpPr>
      <xdr:spPr>
        <a:xfrm>
          <a:off x="7124700" y="7848600"/>
          <a:ext cx="2400300" cy="22288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solidFill>
                <a:schemeClr val="accent6">
                  <a:lumMod val="50000"/>
                </a:schemeClr>
              </a:solidFill>
            </a:rPr>
            <a:t>RECCOMENDATIONS</a:t>
          </a:r>
        </a:p>
        <a:p>
          <a:pPr algn="ctr"/>
          <a:r>
            <a:rPr lang="en-US" sz="1200" b="1">
              <a:solidFill>
                <a:schemeClr val="accent6">
                  <a:lumMod val="50000"/>
                </a:schemeClr>
              </a:solidFill>
            </a:rPr>
            <a:t>1.Use</a:t>
          </a:r>
          <a:r>
            <a:rPr lang="en-US" sz="1200" b="1" baseline="0">
              <a:solidFill>
                <a:schemeClr val="accent6">
                  <a:lumMod val="50000"/>
                </a:schemeClr>
              </a:solidFill>
            </a:rPr>
            <a:t>  discounts strategically</a:t>
          </a:r>
        </a:p>
        <a:p>
          <a:pPr algn="ctr"/>
          <a:r>
            <a:rPr lang="en-US" sz="1200" b="1" baseline="0">
              <a:solidFill>
                <a:schemeClr val="accent6">
                  <a:lumMod val="50000"/>
                </a:schemeClr>
              </a:solidFill>
            </a:rPr>
            <a:t>2.Investigate low rated products</a:t>
          </a:r>
        </a:p>
        <a:p>
          <a:pPr algn="ctr"/>
          <a:r>
            <a:rPr lang="en-US" sz="1200" b="1">
              <a:solidFill>
                <a:schemeClr val="accent6">
                  <a:lumMod val="50000"/>
                </a:schemeClr>
              </a:solidFill>
            </a:rPr>
            <a:t>3.Focus on customer experience</a:t>
          </a:r>
        </a:p>
        <a:p>
          <a:pPr algn="ctr"/>
          <a:r>
            <a:rPr lang="en-US" sz="1200" b="1">
              <a:solidFill>
                <a:schemeClr val="accent6">
                  <a:lumMod val="50000"/>
                </a:schemeClr>
              </a:solidFill>
            </a:rPr>
            <a:t>4.Promote strong perfoming products</a:t>
          </a:r>
        </a:p>
        <a:p>
          <a:pPr algn="ctr"/>
          <a:r>
            <a:rPr lang="en-US" sz="1200" b="1">
              <a:solidFill>
                <a:schemeClr val="accent6">
                  <a:lumMod val="50000"/>
                </a:schemeClr>
              </a:solidFill>
            </a:rPr>
            <a:t>5.Segment</a:t>
          </a:r>
          <a:r>
            <a:rPr lang="en-US" sz="1200" b="1" baseline="0">
              <a:solidFill>
                <a:schemeClr val="accent6">
                  <a:lumMod val="50000"/>
                </a:schemeClr>
              </a:solidFill>
            </a:rPr>
            <a:t> products before making decisions</a:t>
          </a:r>
        </a:p>
        <a:p>
          <a:pPr algn="ctr"/>
          <a:r>
            <a:rPr lang="en-US" sz="1200" b="1">
              <a:solidFill>
                <a:schemeClr val="accent6">
                  <a:lumMod val="50000"/>
                </a:schemeClr>
              </a:solidFill>
            </a:rPr>
            <a:t>6.Turn customer reviews into business intelligence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 refreshedDate="46274.083961458331" createdVersion="8" refreshedVersion="8" minRefreshableVersion="3" recordCount="113" xr:uid="{6AB57006-CC82-4BD5-8685-5E903E02F226}">
  <cacheSource type="worksheet">
    <worksheetSource ref="A1:J114" sheet="Sheet8"/>
  </cacheSource>
  <cacheFields count="10">
    <cacheField name="Product" numFmtId="0">
      <sharedItems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
        <s v="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4">
      <sharedItems containsSemiMixedTypes="0" containsString="0" containsNumber="1" containsInteger="1" minValue="38" maxValue="3750"/>
    </cacheField>
    <cacheField name="Old price" numFmtId="164">
      <sharedItems containsSemiMixedTypes="0" containsString="0" containsNumber="1" containsInteger="1" minValue="80" maxValue="6143"/>
    </cacheField>
    <cacheField name="Discount Price" numFmtId="164">
      <sharedItems containsSemiMixedTypes="0" containsString="0" containsNumber="1" containsInteger="1" minValue="24" maxValue="2585"/>
    </cacheField>
    <cacheField name="Discount" numFmtId="9">
      <sharedItems containsSemiMixedTypes="0" containsString="0" containsNumber="1" minValue="0.01" maxValue="0.64"/>
    </cacheField>
    <cacheField name="Discount category" numFmtId="9">
      <sharedItems/>
    </cacheField>
    <cacheField name="Review" numFmtId="0">
      <sharedItems containsString="0" containsBlank="1" containsNumber="1" containsInteger="1" minValue="1" maxValue="69"/>
    </cacheField>
    <cacheField name="Ratingd" numFmtId="165">
      <sharedItems containsString="0" containsBlank="1" containsNumber="1" minValue="2" maxValue="5"/>
    </cacheField>
    <cacheField name="Rating Category" numFmtId="0">
      <sharedItems/>
    </cacheField>
    <cacheField name="Price Category" numFmtId="0">
      <sharedItems/>
    </cacheField>
  </cacheFields>
  <extLst>
    <ext xmlns:x14="http://schemas.microsoft.com/office/spreadsheetml/2009/9/main" uri="{725AE2AE-9491-48be-B2B4-4EB974FC3084}">
      <x14:pivotCacheDefinition pivotCacheId="17362371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 refreshedDate="46274.4178994213" createdVersion="8" refreshedVersion="8" minRefreshableVersion="3" recordCount="113" xr:uid="{CF786656-66E0-43DA-8A10-EF0FBAD24CB2}">
  <cacheSource type="worksheet">
    <worksheetSource name="tblproducts"/>
  </cacheSource>
  <cacheFields count="10">
    <cacheField name="Product" numFmtId="0">
      <sharedItems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
        <s v="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4">
      <sharedItems containsSemiMixedTypes="0" containsString="0" containsNumber="1" containsInteger="1" minValue="38" maxValue="3750"/>
    </cacheField>
    <cacheField name="Old price" numFmtId="164">
      <sharedItems containsSemiMixedTypes="0" containsString="0" containsNumber="1" containsInteger="1" minValue="80" maxValue="6143"/>
    </cacheField>
    <cacheField name="Discount Price" numFmtId="164">
      <sharedItems containsSemiMixedTypes="0" containsString="0" containsNumber="1" containsInteger="1" minValue="24" maxValue="2585"/>
    </cacheField>
    <cacheField name="Discount" numFmtId="9">
      <sharedItems containsSemiMixedTypes="0" containsString="0" containsNumber="1" minValue="0.01" maxValue="0.64"/>
    </cacheField>
    <cacheField name="Discount category" numFmtId="9">
      <sharedItems count="3">
        <s v="MEDIUM DISCOUNT"/>
        <s v="HIGH DISCOUNT"/>
        <s v="LOW DISCOUNT"/>
      </sharedItems>
    </cacheField>
    <cacheField name="Review" numFmtId="0">
      <sharedItems containsString="0" containsBlank="1" containsNumber="1" containsInteger="1" minValue="1" maxValue="69" count="24">
        <n v="2"/>
        <n v="14"/>
        <n v="24"/>
        <n v="7"/>
        <n v="5"/>
        <n v="15"/>
        <n v="55"/>
        <n v="12"/>
        <n v="39"/>
        <n v="6"/>
        <n v="9"/>
        <n v="3"/>
        <n v="44"/>
        <n v="13"/>
        <m/>
        <n v="49"/>
        <n v="20"/>
        <n v="32"/>
        <n v="1"/>
        <n v="36"/>
        <n v="10"/>
        <n v="69"/>
        <n v="16"/>
        <n v="17"/>
      </sharedItems>
    </cacheField>
    <cacheField name="Ratingd" numFmtId="165">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cacheField>
    <cacheField name="Rating Category" numFmtId="0">
      <sharedItems count="4">
        <s v="EXCELLENT"/>
        <s v="AVERAGE"/>
        <s v="NOT PROVIDED"/>
        <s v="POOR"/>
      </sharedItems>
    </cacheField>
    <cacheField name="Price Category" numFmtId="0">
      <sharedItems count="3">
        <s v="LOW PRICE"/>
        <s v="HIGH PRICE"/>
        <s v="MEDIUM PRICE"/>
      </sharedItems>
    </cacheField>
  </cacheFields>
  <extLst>
    <ext xmlns:x14="http://schemas.microsoft.com/office/spreadsheetml/2009/9/main" uri="{725AE2AE-9491-48be-B2B4-4EB974FC3084}">
      <x14:pivotCacheDefinition pivotCacheId="9120580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x v="0"/>
    <n v="950"/>
    <n v="1525"/>
    <n v="575"/>
    <n v="0.38"/>
    <s v="MEDIUM DISCOUNT"/>
    <n v="2"/>
    <n v="4.5"/>
    <s v="EXCELLENT"/>
    <s v="LOW PRICE"/>
  </r>
  <r>
    <x v="1"/>
    <n v="527"/>
    <n v="999"/>
    <n v="472"/>
    <n v="0.47"/>
    <s v="HIGH DISCOUNT"/>
    <n v="14"/>
    <n v="4.0999999999999996"/>
    <s v="AVERAGE"/>
    <s v="LOW PRICE"/>
  </r>
  <r>
    <x v="2"/>
    <n v="2199"/>
    <n v="2923"/>
    <n v="724"/>
    <n v="0.25"/>
    <s v="MEDIUM DISCOUNT"/>
    <n v="24"/>
    <n v="4.5999999999999996"/>
    <s v="EXCELLENT"/>
    <s v="HIGH PRICE"/>
  </r>
  <r>
    <x v="3"/>
    <n v="1580"/>
    <n v="2499"/>
    <n v="919"/>
    <n v="0.37"/>
    <s v="MEDIUM DISCOUNT"/>
    <n v="7"/>
    <n v="4.7"/>
    <s v="EXCELLENT"/>
    <s v="MEDIUM PRICE"/>
  </r>
  <r>
    <x v="4"/>
    <n v="1740"/>
    <n v="2356"/>
    <n v="616"/>
    <n v="0.26"/>
    <s v="MEDIUM DISCOUNT"/>
    <n v="5"/>
    <n v="4.8"/>
    <s v="EXCELLENT"/>
    <s v="MEDIUM PRICE"/>
  </r>
  <r>
    <x v="5"/>
    <n v="2999"/>
    <n v="3290"/>
    <n v="291"/>
    <n v="0.09"/>
    <s v="LOW DISCOUNT"/>
    <n v="15"/>
    <n v="4"/>
    <s v="AVERAGE"/>
    <s v="HIGH PRICE"/>
  </r>
  <r>
    <x v="6"/>
    <n v="2319"/>
    <n v="3032"/>
    <n v="713"/>
    <n v="0.24"/>
    <s v="MEDIUM DISCOUNT"/>
    <n v="55"/>
    <n v="4.5999999999999996"/>
    <s v="EXCELLENT"/>
    <s v="HIGH PRICE"/>
  </r>
  <r>
    <x v="7"/>
    <n v="988"/>
    <n v="1580"/>
    <n v="592"/>
    <n v="0.37"/>
    <s v="MEDIUM DISCOUNT"/>
    <n v="2"/>
    <n v="4"/>
    <s v="AVERAGE"/>
    <s v="LOW PRICE"/>
  </r>
  <r>
    <x v="8"/>
    <n v="1274"/>
    <n v="2800"/>
    <n v="1526"/>
    <n v="0.55000000000000004"/>
    <s v="HIGH DISCOUNT"/>
    <n v="5"/>
    <n v="4.8"/>
    <s v="EXCELLENT"/>
    <s v="MEDIUM PRICE"/>
  </r>
  <r>
    <x v="9"/>
    <n v="1600"/>
    <n v="2929"/>
    <n v="1329"/>
    <n v="0.45"/>
    <s v="HIGH DISCOUNT"/>
    <n v="5"/>
    <n v="3.8"/>
    <s v="AVERAGE"/>
    <s v="MEDIUM PRICE"/>
  </r>
  <r>
    <x v="10"/>
    <n v="799"/>
    <n v="999"/>
    <n v="200"/>
    <n v="0.2"/>
    <s v="MEDIUM DISCOUNT"/>
    <n v="12"/>
    <n v="4.0999999999999996"/>
    <s v="AVERAGE"/>
    <s v="LOW PRICE"/>
  </r>
  <r>
    <x v="11"/>
    <n v="990"/>
    <n v="1500"/>
    <n v="510"/>
    <n v="0.34"/>
    <s v="MEDIUM DISCOUNT"/>
    <n v="39"/>
    <n v="4.7"/>
    <s v="EXCELLENT"/>
    <s v="LOW PRICE"/>
  </r>
  <r>
    <x v="12"/>
    <n v="552"/>
    <n v="1035"/>
    <n v="483"/>
    <n v="0.47"/>
    <s v="HIGH DISCOUNT"/>
    <n v="12"/>
    <n v="4.8"/>
    <s v="EXCELLENT"/>
    <s v="LOW PRICE"/>
  </r>
  <r>
    <x v="13"/>
    <n v="501"/>
    <n v="860"/>
    <n v="359"/>
    <n v="0.42"/>
    <s v="HIGH DISCOUNT"/>
    <n v="6"/>
    <n v="4.5"/>
    <s v="EXCELLENT"/>
    <s v="LOW PRICE"/>
  </r>
  <r>
    <x v="14"/>
    <n v="1680"/>
    <n v="2499"/>
    <n v="819"/>
    <n v="0.33"/>
    <s v="MEDIUM DISCOUNT"/>
    <n v="9"/>
    <n v="4.2"/>
    <s v="AVERAGE"/>
    <s v="MEDIUM PRICE"/>
  </r>
  <r>
    <x v="15"/>
    <n v="332"/>
    <n v="684"/>
    <n v="352"/>
    <n v="0.51"/>
    <s v="HIGH DISCOUNT"/>
    <n v="2"/>
    <n v="5"/>
    <s v="EXCELLENT"/>
    <s v="LOW PRICE"/>
  </r>
  <r>
    <x v="16"/>
    <n v="195"/>
    <n v="360"/>
    <n v="165"/>
    <n v="0.46"/>
    <s v="HIGH DISCOUNT"/>
    <n v="2"/>
    <n v="5"/>
    <s v="EXCELLENT"/>
    <s v="LOW PRICE"/>
  </r>
  <r>
    <x v="17"/>
    <n v="2025"/>
    <n v="3971"/>
    <n v="1946"/>
    <n v="0.49"/>
    <s v="HIGH DISCOUNT"/>
    <n v="3"/>
    <n v="5"/>
    <s v="EXCELLENT"/>
    <s v="HIGH PRICE"/>
  </r>
  <r>
    <x v="18"/>
    <n v="2999"/>
    <n v="3699"/>
    <n v="700"/>
    <n v="0.19"/>
    <s v="LOW DISCOUNT"/>
    <n v="5"/>
    <n v="4.5999999999999996"/>
    <s v="EXCELLENT"/>
    <s v="HIGH PRICE"/>
  </r>
  <r>
    <x v="19"/>
    <n v="998"/>
    <n v="1966"/>
    <n v="968"/>
    <n v="0.49"/>
    <s v="HIGH DISCOUNT"/>
    <n v="44"/>
    <n v="4.5999999999999996"/>
    <s v="EXCELLENT"/>
    <s v="LOW PRICE"/>
  </r>
  <r>
    <x v="20"/>
    <n v="38"/>
    <n v="80"/>
    <n v="42"/>
    <n v="0.53"/>
    <s v="HIGH DISCOUNT"/>
    <n v="13"/>
    <n v="3.3"/>
    <s v="AVERAGE"/>
    <s v="LOW PRICE"/>
  </r>
  <r>
    <x v="21"/>
    <n v="1860"/>
    <n v="3220"/>
    <n v="1360"/>
    <n v="0.42"/>
    <s v="HIGH DISCOUNT"/>
    <m/>
    <m/>
    <s v="NOT PROVIDED"/>
    <s v="MEDIUM PRICE"/>
  </r>
  <r>
    <x v="22"/>
    <n v="880"/>
    <n v="1350"/>
    <n v="470"/>
    <n v="0.35"/>
    <s v="MEDIUM DISCOUNT"/>
    <n v="6"/>
    <n v="4"/>
    <s v="AVERAGE"/>
    <s v="LOW PRICE"/>
  </r>
  <r>
    <x v="23"/>
    <n v="1650"/>
    <n v="2150"/>
    <n v="500"/>
    <n v="0.23"/>
    <s v="MEDIUM DISCOUNT"/>
    <n v="14"/>
    <n v="4.4000000000000004"/>
    <s v="AVERAGE"/>
    <s v="MEDIUM PRICE"/>
  </r>
  <r>
    <x v="24"/>
    <n v="2048"/>
    <n v="4500"/>
    <n v="2452"/>
    <n v="0.54"/>
    <s v="HIGH DISCOUNT"/>
    <n v="7"/>
    <n v="4.3"/>
    <s v="AVERAGE"/>
    <s v="HIGH PRICE"/>
  </r>
  <r>
    <x v="25"/>
    <n v="420"/>
    <n v="647"/>
    <n v="227"/>
    <n v="0.35"/>
    <s v="MEDIUM DISCOUNT"/>
    <n v="49"/>
    <n v="4.5999999999999996"/>
    <s v="EXCELLENT"/>
    <s v="LOW PRICE"/>
  </r>
  <r>
    <x v="26"/>
    <n v="2880"/>
    <n v="3520"/>
    <n v="640"/>
    <n v="0.18"/>
    <s v="LOW DISCOUNT"/>
    <n v="12"/>
    <n v="3.8"/>
    <s v="AVERAGE"/>
    <s v="HIGH PRICE"/>
  </r>
  <r>
    <x v="27"/>
    <n v="1350"/>
    <n v="1990"/>
    <n v="640"/>
    <n v="0.32"/>
    <s v="MEDIUM DISCOUNT"/>
    <n v="13"/>
    <n v="3.8"/>
    <s v="AVERAGE"/>
    <s v="MEDIUM PRICE"/>
  </r>
  <r>
    <x v="28"/>
    <n v="1758"/>
    <n v="2499"/>
    <n v="741"/>
    <n v="0.3"/>
    <s v="MEDIUM DISCOUNT"/>
    <n v="20"/>
    <n v="4.0999999999999996"/>
    <s v="AVERAGE"/>
    <s v="MEDIUM PRICE"/>
  </r>
  <r>
    <x v="29"/>
    <n v="2200"/>
    <n v="4080"/>
    <n v="1880"/>
    <n v="0.46"/>
    <s v="HIGH DISCOUNT"/>
    <m/>
    <m/>
    <s v="NOT PROVIDED"/>
    <s v="HIGH PRICE"/>
  </r>
  <r>
    <x v="30"/>
    <n v="185"/>
    <n v="382"/>
    <n v="197"/>
    <n v="0.52"/>
    <s v="HIGH DISCOUNT"/>
    <n v="9"/>
    <n v="4.3"/>
    <s v="AVERAGE"/>
    <s v="LOW PRICE"/>
  </r>
  <r>
    <x v="31"/>
    <n v="980"/>
    <n v="1490"/>
    <n v="510"/>
    <n v="0.34"/>
    <s v="MEDIUM DISCOUNT"/>
    <n v="12"/>
    <n v="4.7"/>
    <s v="EXCELLENT"/>
    <s v="LOW PRICE"/>
  </r>
  <r>
    <x v="32"/>
    <n v="1820"/>
    <n v="3490"/>
    <n v="1670"/>
    <n v="0.48"/>
    <s v="HIGH DISCOUNT"/>
    <n v="9"/>
    <n v="4.3"/>
    <s v="AVERAGE"/>
    <s v="MEDIUM PRICE"/>
  </r>
  <r>
    <x v="33"/>
    <n v="1940"/>
    <n v="2650"/>
    <n v="710"/>
    <n v="0.27"/>
    <s v="MEDIUM DISCOUNT"/>
    <n v="20"/>
    <n v="4.7"/>
    <s v="EXCELLENT"/>
    <s v="MEDIUM PRICE"/>
  </r>
  <r>
    <x v="34"/>
    <n v="1980"/>
    <n v="2699"/>
    <n v="719"/>
    <n v="0.27"/>
    <s v="MEDIUM DISCOUNT"/>
    <n v="32"/>
    <n v="4.5"/>
    <s v="EXCELLENT"/>
    <s v="MEDIUM PRICE"/>
  </r>
  <r>
    <x v="35"/>
    <n v="1620"/>
    <n v="2690"/>
    <n v="1070"/>
    <n v="0.4"/>
    <s v="HIGH DISCOUNT"/>
    <n v="1"/>
    <n v="5"/>
    <s v="EXCELLENT"/>
    <s v="MEDIUM PRICE"/>
  </r>
  <r>
    <x v="36"/>
    <n v="171"/>
    <n v="360"/>
    <n v="189"/>
    <n v="0.53"/>
    <s v="HIGH DISCOUNT"/>
    <n v="2"/>
    <n v="5"/>
    <s v="EXCELLENT"/>
    <s v="LOW PRICE"/>
  </r>
  <r>
    <x v="37"/>
    <n v="389"/>
    <n v="656"/>
    <n v="267"/>
    <n v="0.41"/>
    <s v="HIGH DISCOUNT"/>
    <n v="36"/>
    <n v="4.3"/>
    <s v="AVERAGE"/>
    <s v="LOW PRICE"/>
  </r>
  <r>
    <x v="38"/>
    <n v="1620"/>
    <n v="2200"/>
    <n v="580"/>
    <n v="0.26"/>
    <s v="MEDIUM DISCOUNT"/>
    <n v="2"/>
    <n v="4.5"/>
    <s v="EXCELLENT"/>
    <s v="MEDIUM PRICE"/>
  </r>
  <r>
    <x v="39"/>
    <n v="1980"/>
    <n v="3200"/>
    <n v="1220"/>
    <n v="0.38"/>
    <s v="MEDIUM DISCOUNT"/>
    <m/>
    <m/>
    <s v="NOT PROVIDED"/>
    <s v="MEDIUM PRICE"/>
  </r>
  <r>
    <x v="40"/>
    <n v="2750"/>
    <n v="4471"/>
    <n v="1721"/>
    <n v="0.38"/>
    <s v="MEDIUM DISCOUNT"/>
    <m/>
    <m/>
    <s v="NOT PROVIDED"/>
    <s v="HIGH PRICE"/>
  </r>
  <r>
    <x v="41"/>
    <n v="475"/>
    <n v="931"/>
    <n v="456"/>
    <n v="0.49"/>
    <s v="HIGH DISCOUNT"/>
    <m/>
    <m/>
    <s v="NOT PROVIDED"/>
    <s v="LOW PRICE"/>
  </r>
  <r>
    <x v="42"/>
    <n v="238"/>
    <n v="476"/>
    <n v="238"/>
    <n v="0.5"/>
    <s v="HIGH DISCOUNT"/>
    <m/>
    <m/>
    <s v="NOT PROVIDED"/>
    <s v="LOW PRICE"/>
  </r>
  <r>
    <x v="43"/>
    <n v="610"/>
    <n v="1060"/>
    <n v="450"/>
    <n v="0.42"/>
    <s v="HIGH DISCOUNT"/>
    <m/>
    <m/>
    <s v="NOT PROVIDED"/>
    <s v="LOW PRICE"/>
  </r>
  <r>
    <x v="44"/>
    <n v="2132"/>
    <n v="2169"/>
    <n v="37"/>
    <n v="0.02"/>
    <s v="LOW DISCOUNT"/>
    <m/>
    <m/>
    <s v="NOT PROVIDED"/>
    <s v="HIGH PRICE"/>
  </r>
  <r>
    <x v="45"/>
    <n v="999"/>
    <n v="2000"/>
    <n v="1001"/>
    <n v="0.5"/>
    <s v="HIGH DISCOUNT"/>
    <m/>
    <m/>
    <s v="NOT PROVIDED"/>
    <s v="LOW PRICE"/>
  </r>
  <r>
    <x v="46"/>
    <n v="1190"/>
    <n v="1785"/>
    <n v="595"/>
    <n v="0.33"/>
    <s v="MEDIUM DISCOUNT"/>
    <m/>
    <m/>
    <s v="NOT PROVIDED"/>
    <s v="MEDIUM PRICE"/>
  </r>
  <r>
    <x v="47"/>
    <n v="671"/>
    <n v="1316"/>
    <n v="645"/>
    <n v="0.49"/>
    <s v="HIGH DISCOUNT"/>
    <m/>
    <m/>
    <s v="NOT PROVIDED"/>
    <s v="LOW PRICE"/>
  </r>
  <r>
    <x v="48"/>
    <n v="1200"/>
    <n v="1950"/>
    <n v="750"/>
    <n v="0.38"/>
    <s v="MEDIUM DISCOUNT"/>
    <m/>
    <m/>
    <s v="NOT PROVIDED"/>
    <s v="MEDIUM PRICE"/>
  </r>
  <r>
    <x v="49"/>
    <n v="199"/>
    <n v="504"/>
    <n v="305"/>
    <n v="0.61"/>
    <s v="HIGH DISCOUNT"/>
    <m/>
    <m/>
    <s v="NOT PROVIDED"/>
    <s v="LOW PRICE"/>
  </r>
  <r>
    <x v="50"/>
    <n v="299"/>
    <n v="600"/>
    <n v="301"/>
    <n v="0.5"/>
    <s v="HIGH DISCOUNT"/>
    <m/>
    <m/>
    <s v="NOT PROVIDED"/>
    <s v="LOW PRICE"/>
  </r>
  <r>
    <x v="51"/>
    <n v="1660"/>
    <n v="1699"/>
    <n v="39"/>
    <n v="0.02"/>
    <s v="LOW DISCOUNT"/>
    <m/>
    <m/>
    <s v="NOT PROVIDED"/>
    <s v="MEDIUM PRICE"/>
  </r>
  <r>
    <x v="52"/>
    <n v="299"/>
    <n v="384"/>
    <n v="85"/>
    <n v="0.22"/>
    <s v="MEDIUM DISCOUNT"/>
    <m/>
    <m/>
    <s v="NOT PROVIDED"/>
    <s v="LOW PRICE"/>
  </r>
  <r>
    <x v="53"/>
    <n v="1459"/>
    <n v="1499"/>
    <n v="40"/>
    <n v="0.03"/>
    <s v="LOW DISCOUNT"/>
    <m/>
    <m/>
    <s v="NOT PROVIDED"/>
    <s v="MEDIUM PRICE"/>
  </r>
  <r>
    <x v="54"/>
    <n v="799"/>
    <n v="1343"/>
    <n v="544"/>
    <n v="0.41"/>
    <s v="HIGH DISCOUNT"/>
    <m/>
    <m/>
    <s v="NOT PROVIDED"/>
    <s v="LOW PRICE"/>
  </r>
  <r>
    <x v="55"/>
    <n v="499"/>
    <n v="900"/>
    <n v="401"/>
    <n v="0.45"/>
    <s v="HIGH DISCOUNT"/>
    <m/>
    <m/>
    <s v="NOT PROVIDED"/>
    <s v="LOW PRICE"/>
  </r>
  <r>
    <x v="56"/>
    <n v="699"/>
    <n v="1343"/>
    <n v="644"/>
    <n v="0.48"/>
    <s v="HIGH DISCOUNT"/>
    <m/>
    <m/>
    <s v="NOT PROVIDED"/>
    <s v="LOW PRICE"/>
  </r>
  <r>
    <x v="57"/>
    <n v="799"/>
    <n v="1567"/>
    <n v="768"/>
    <n v="0.49"/>
    <s v="HIGH DISCOUNT"/>
    <m/>
    <m/>
    <s v="NOT PROVIDED"/>
    <s v="LOW PRICE"/>
  </r>
  <r>
    <x v="58"/>
    <n v="2799"/>
    <n v="3810"/>
    <n v="1011"/>
    <n v="0.27"/>
    <s v="MEDIUM DISCOUNT"/>
    <m/>
    <m/>
    <s v="NOT PROVIDED"/>
    <s v="HIGH PRICE"/>
  </r>
  <r>
    <x v="55"/>
    <n v="399"/>
    <n v="896"/>
    <n v="497"/>
    <n v="0.55000000000000004"/>
    <s v="HIGH DISCOUNT"/>
    <m/>
    <m/>
    <s v="NOT PROVIDED"/>
    <s v="LOW PRICE"/>
  </r>
  <r>
    <x v="59"/>
    <n v="2170"/>
    <n v="2500"/>
    <n v="330"/>
    <n v="0.13"/>
    <s v="LOW DISCOUNT"/>
    <n v="6"/>
    <n v="2.5"/>
    <s v="POOR"/>
    <s v="HIGH PRICE"/>
  </r>
  <r>
    <x v="60"/>
    <n v="458"/>
    <n v="986"/>
    <n v="528"/>
    <n v="0.54"/>
    <s v="HIGH DISCOUNT"/>
    <n v="10"/>
    <n v="3"/>
    <s v="AVERAGE"/>
    <s v="LOW PRICE"/>
  </r>
  <r>
    <x v="61"/>
    <n v="2115"/>
    <n v="4700"/>
    <n v="2585"/>
    <n v="0.55000000000000004"/>
    <s v="HIGH DISCOUNT"/>
    <n v="13"/>
    <n v="2.1"/>
    <s v="POOR"/>
    <s v="HIGH PRICE"/>
  </r>
  <r>
    <x v="62"/>
    <n v="445"/>
    <n v="873"/>
    <n v="428"/>
    <n v="0.49"/>
    <s v="HIGH DISCOUNT"/>
    <n v="69"/>
    <n v="2.8"/>
    <s v="POOR"/>
    <s v="LOW PRICE"/>
  </r>
  <r>
    <x v="63"/>
    <n v="325"/>
    <n v="680"/>
    <n v="355"/>
    <n v="0.52"/>
    <s v="HIGH DISCOUNT"/>
    <n v="15"/>
    <n v="2.7"/>
    <s v="POOR"/>
    <s v="LOW PRICE"/>
  </r>
  <r>
    <x v="64"/>
    <n v="1220"/>
    <n v="1555"/>
    <n v="335"/>
    <n v="0.22"/>
    <s v="MEDIUM DISCOUNT"/>
    <n v="16"/>
    <n v="2.9"/>
    <s v="POOR"/>
    <s v="MEDIUM PRICE"/>
  </r>
  <r>
    <x v="65"/>
    <n v="990"/>
    <n v="1814"/>
    <n v="824"/>
    <n v="0.45"/>
    <s v="HIGH DISCOUNT"/>
    <n v="6"/>
    <n v="2.2000000000000002"/>
    <s v="POOR"/>
    <s v="LOW PRICE"/>
  </r>
  <r>
    <x v="66"/>
    <n v="1000"/>
    <n v="2000"/>
    <n v="1000"/>
    <n v="0.5"/>
    <s v="HIGH DISCOUNT"/>
    <n v="7"/>
    <n v="2.2999999999999998"/>
    <s v="POOR"/>
    <s v="MEDIUM PRICE"/>
  </r>
  <r>
    <x v="67"/>
    <n v="3750"/>
    <n v="6143"/>
    <n v="2393"/>
    <n v="0.39"/>
    <s v="MEDIUM DISCOUNT"/>
    <n v="5"/>
    <n v="3"/>
    <s v="AVERAGE"/>
    <s v="HIGH PRICE"/>
  </r>
  <r>
    <x v="68"/>
    <n v="382"/>
    <n v="700"/>
    <n v="318"/>
    <n v="0.45"/>
    <s v="HIGH DISCOUNT"/>
    <n v="17"/>
    <n v="2.6"/>
    <s v="POOR"/>
    <s v="LOW PRICE"/>
  </r>
  <r>
    <x v="69"/>
    <n v="2300"/>
    <n v="3240"/>
    <n v="940"/>
    <n v="0.28999999999999998"/>
    <s v="MEDIUM DISCOUNT"/>
    <n v="5"/>
    <n v="3"/>
    <s v="AVERAGE"/>
    <s v="HIGH PRICE"/>
  </r>
  <r>
    <x v="70"/>
    <n v="345"/>
    <n v="602"/>
    <n v="257"/>
    <n v="0.43"/>
    <s v="HIGH DISCOUNT"/>
    <n v="6"/>
    <n v="2.2999999999999998"/>
    <s v="POOR"/>
    <s v="LOW PRICE"/>
  </r>
  <r>
    <x v="71"/>
    <n v="509"/>
    <n v="899"/>
    <n v="390"/>
    <n v="0.43"/>
    <s v="HIGH DISCOUNT"/>
    <n v="5"/>
    <n v="3"/>
    <s v="AVERAGE"/>
    <s v="LOW PRICE"/>
  </r>
  <r>
    <x v="72"/>
    <n v="968"/>
    <n v="1814"/>
    <n v="846"/>
    <n v="0.47"/>
    <s v="HIGH DISCOUNT"/>
    <n v="6"/>
    <n v="2.2000000000000002"/>
    <s v="POOR"/>
    <s v="LOW PRICE"/>
  </r>
  <r>
    <x v="73"/>
    <n v="1570"/>
    <n v="2988"/>
    <n v="1418"/>
    <n v="0.47"/>
    <s v="HIGH DISCOUNT"/>
    <n v="7"/>
    <n v="2.1"/>
    <s v="POOR"/>
    <s v="MEDIUM PRICE"/>
  </r>
  <r>
    <x v="74"/>
    <n v="790"/>
    <n v="1485"/>
    <n v="695"/>
    <n v="0.47"/>
    <s v="HIGH DISCOUNT"/>
    <m/>
    <m/>
    <s v="NOT PROVIDED"/>
    <s v="LOW PRICE"/>
  </r>
  <r>
    <x v="75"/>
    <n v="690"/>
    <n v="1200"/>
    <n v="510"/>
    <n v="0.43"/>
    <s v="HIGH DISCOUNT"/>
    <m/>
    <m/>
    <s v="NOT PROVIDED"/>
    <s v="LOW PRICE"/>
  </r>
  <r>
    <x v="76"/>
    <n v="1732"/>
    <n v="1799"/>
    <n v="67"/>
    <n v="0.04"/>
    <s v="LOW DISCOUNT"/>
    <m/>
    <m/>
    <s v="NOT PROVIDED"/>
    <s v="MEDIUM PRICE"/>
  </r>
  <r>
    <x v="77"/>
    <n v="230"/>
    <n v="450"/>
    <n v="220"/>
    <n v="0.49"/>
    <s v="HIGH DISCOUNT"/>
    <m/>
    <m/>
    <s v="NOT PROVIDED"/>
    <s v="LOW PRICE"/>
  </r>
  <r>
    <x v="78"/>
    <n v="1189"/>
    <n v="2199"/>
    <n v="1010"/>
    <n v="0.46"/>
    <s v="HIGH DISCOUNT"/>
    <n v="1"/>
    <n v="3"/>
    <s v="AVERAGE"/>
    <s v="MEDIUM PRICE"/>
  </r>
  <r>
    <x v="79"/>
    <n v="979"/>
    <n v="1920"/>
    <n v="941"/>
    <n v="0.49"/>
    <s v="HIGH DISCOUNT"/>
    <n v="1"/>
    <n v="5"/>
    <s v="EXCELLENT"/>
    <s v="LOW PRICE"/>
  </r>
  <r>
    <x v="80"/>
    <n v="1460"/>
    <n v="2290"/>
    <n v="830"/>
    <n v="0.36"/>
    <s v="MEDIUM DISCOUNT"/>
    <m/>
    <m/>
    <s v="NOT PROVIDED"/>
    <s v="MEDIUM PRICE"/>
  </r>
  <r>
    <x v="81"/>
    <n v="1666"/>
    <n v="1699"/>
    <n v="33"/>
    <n v="0.02"/>
    <s v="LOW DISCOUNT"/>
    <m/>
    <m/>
    <s v="NOT PROVIDED"/>
    <s v="MEDIUM PRICE"/>
  </r>
  <r>
    <x v="82"/>
    <n v="330"/>
    <n v="647"/>
    <n v="317"/>
    <n v="0.49"/>
    <s v="HIGH DISCOUNT"/>
    <n v="1"/>
    <n v="4"/>
    <s v="AVERAGE"/>
    <s v="LOW PRICE"/>
  </r>
  <r>
    <x v="49"/>
    <n v="176"/>
    <n v="345"/>
    <n v="169"/>
    <n v="0.49"/>
    <s v="HIGH DISCOUNT"/>
    <m/>
    <m/>
    <s v="NOT PROVIDED"/>
    <s v="LOW PRICE"/>
  </r>
  <r>
    <x v="83"/>
    <n v="1466"/>
    <n v="1699"/>
    <n v="233"/>
    <n v="0.14000000000000001"/>
    <s v="LOW DISCOUNT"/>
    <m/>
    <m/>
    <s v="NOT PROVIDED"/>
    <s v="MEDIUM PRICE"/>
  </r>
  <r>
    <x v="84"/>
    <n v="274"/>
    <n v="537"/>
    <n v="263"/>
    <n v="0.49"/>
    <s v="HIGH DISCOUNT"/>
    <m/>
    <m/>
    <s v="NOT PROVIDED"/>
    <s v="LOW PRICE"/>
  </r>
  <r>
    <x v="85"/>
    <n v="799"/>
    <n v="900"/>
    <n v="101"/>
    <n v="0.11"/>
    <s v="LOW DISCOUNT"/>
    <m/>
    <m/>
    <s v="NOT PROVIDED"/>
    <s v="LOW PRICE"/>
  </r>
  <r>
    <x v="57"/>
    <n v="657"/>
    <n v="1288"/>
    <n v="631"/>
    <n v="0.49"/>
    <s v="HIGH DISCOUNT"/>
    <m/>
    <m/>
    <s v="NOT PROVIDED"/>
    <s v="LOW PRICE"/>
  </r>
  <r>
    <x v="86"/>
    <n v="1468"/>
    <n v="1699"/>
    <n v="231"/>
    <n v="0.14000000000000001"/>
    <s v="LOW DISCOUNT"/>
    <m/>
    <m/>
    <s v="NOT PROVIDED"/>
    <s v="MEDIUM PRICE"/>
  </r>
  <r>
    <x v="87"/>
    <n v="630"/>
    <n v="1100"/>
    <n v="470"/>
    <n v="0.43"/>
    <s v="HIGH DISCOUNT"/>
    <m/>
    <m/>
    <s v="NOT PROVIDED"/>
    <s v="LOW PRICE"/>
  </r>
  <r>
    <x v="88"/>
    <n v="850"/>
    <n v="1700"/>
    <n v="850"/>
    <n v="0.5"/>
    <s v="HIGH DISCOUNT"/>
    <m/>
    <m/>
    <s v="NOT PROVIDED"/>
    <s v="LOW PRICE"/>
  </r>
  <r>
    <x v="89"/>
    <n v="1300"/>
    <n v="2500"/>
    <n v="1200"/>
    <n v="0.48"/>
    <s v="HIGH DISCOUNT"/>
    <m/>
    <m/>
    <s v="NOT PROVIDED"/>
    <s v="MEDIUM PRICE"/>
  </r>
  <r>
    <x v="90"/>
    <n v="105"/>
    <n v="200"/>
    <n v="95"/>
    <n v="0.48"/>
    <s v="HIGH DISCOUNT"/>
    <m/>
    <m/>
    <s v="NOT PROVIDED"/>
    <s v="LOW PRICE"/>
  </r>
  <r>
    <x v="91"/>
    <n v="899"/>
    <n v="1699"/>
    <n v="800"/>
    <n v="0.47"/>
    <s v="HIGH DISCOUNT"/>
    <m/>
    <m/>
    <s v="NOT PROVIDED"/>
    <s v="LOW PRICE"/>
  </r>
  <r>
    <x v="92"/>
    <n v="1200"/>
    <n v="2400"/>
    <n v="1200"/>
    <n v="0.5"/>
    <s v="HIGH DISCOUNT"/>
    <m/>
    <m/>
    <s v="NOT PROVIDED"/>
    <s v="MEDIUM PRICE"/>
  </r>
  <r>
    <x v="93"/>
    <n v="1526"/>
    <n v="1660"/>
    <n v="134"/>
    <n v="0.08"/>
    <s v="LOW DISCOUNT"/>
    <m/>
    <m/>
    <s v="NOT PROVIDED"/>
    <s v="MEDIUM PRICE"/>
  </r>
  <r>
    <x v="94"/>
    <n v="1462"/>
    <n v="1499"/>
    <n v="37"/>
    <n v="0.02"/>
    <s v="LOW DISCOUNT"/>
    <m/>
    <m/>
    <s v="NOT PROVIDED"/>
    <s v="MEDIUM PRICE"/>
  </r>
  <r>
    <x v="95"/>
    <n v="248"/>
    <n v="486"/>
    <n v="238"/>
    <n v="0.49"/>
    <s v="HIGH DISCOUNT"/>
    <m/>
    <m/>
    <s v="NOT PROVIDED"/>
    <s v="LOW PRICE"/>
  </r>
  <r>
    <x v="96"/>
    <n v="3546"/>
    <n v="3699"/>
    <n v="153"/>
    <n v="0.04"/>
    <s v="LOW DISCOUNT"/>
    <m/>
    <m/>
    <s v="NOT PROVIDED"/>
    <s v="HIGH PRICE"/>
  </r>
  <r>
    <x v="97"/>
    <n v="525"/>
    <n v="1029"/>
    <n v="504"/>
    <n v="0.49"/>
    <s v="HIGH DISCOUNT"/>
    <m/>
    <m/>
    <s v="NOT PROVIDED"/>
    <s v="LOW PRICE"/>
  </r>
  <r>
    <x v="98"/>
    <n v="1080"/>
    <n v="1874"/>
    <n v="794"/>
    <n v="0.42"/>
    <s v="HIGH DISCOUNT"/>
    <m/>
    <m/>
    <s v="NOT PROVIDED"/>
    <s v="MEDIUM PRICE"/>
  </r>
  <r>
    <x v="99"/>
    <n v="3640"/>
    <n v="4588"/>
    <n v="948"/>
    <n v="0.21"/>
    <s v="MEDIUM DISCOUNT"/>
    <n v="1"/>
    <n v="5"/>
    <s v="EXCELLENT"/>
    <s v="HIGH PRICE"/>
  </r>
  <r>
    <x v="100"/>
    <n v="1420"/>
    <n v="2420"/>
    <n v="1000"/>
    <n v="0.41"/>
    <s v="HIGH DISCOUNT"/>
    <m/>
    <m/>
    <s v="NOT PROVIDED"/>
    <s v="MEDIUM PRICE"/>
  </r>
  <r>
    <x v="101"/>
    <n v="1875"/>
    <n v="1899"/>
    <n v="24"/>
    <n v="0.01"/>
    <s v="LOW DISCOUNT"/>
    <m/>
    <m/>
    <s v="NOT PROVIDED"/>
    <s v="MEDIUM PRICE"/>
  </r>
  <r>
    <x v="102"/>
    <n v="198"/>
    <n v="260"/>
    <n v="62"/>
    <n v="0.24"/>
    <s v="MEDIUM DISCOUNT"/>
    <m/>
    <m/>
    <s v="NOT PROVIDED"/>
    <s v="LOW PRICE"/>
  </r>
  <r>
    <x v="103"/>
    <n v="1150"/>
    <n v="1737"/>
    <n v="587"/>
    <n v="0.34"/>
    <s v="MEDIUM DISCOUNT"/>
    <m/>
    <m/>
    <s v="NOT PROVIDED"/>
    <s v="MEDIUM PRICE"/>
  </r>
  <r>
    <x v="104"/>
    <n v="1190"/>
    <n v="1810"/>
    <n v="620"/>
    <n v="0.34"/>
    <s v="MEDIUM DISCOUNT"/>
    <m/>
    <m/>
    <s v="NOT PROVIDED"/>
    <s v="MEDIUM PRICE"/>
  </r>
  <r>
    <x v="105"/>
    <n v="1658"/>
    <n v="1699"/>
    <n v="41"/>
    <n v="0.02"/>
    <s v="LOW DISCOUNT"/>
    <m/>
    <m/>
    <s v="NOT PROVIDED"/>
    <s v="MEDIUM PRICE"/>
  </r>
  <r>
    <x v="106"/>
    <n v="1768"/>
    <n v="1799"/>
    <n v="31"/>
    <n v="0.02"/>
    <s v="LOW DISCOUNT"/>
    <m/>
    <m/>
    <s v="NOT PROVIDED"/>
    <s v="MEDIUM PRICE"/>
  </r>
  <r>
    <x v="107"/>
    <n v="199"/>
    <n v="553"/>
    <n v="354"/>
    <n v="0.64"/>
    <s v="HIGH DISCOUNT"/>
    <m/>
    <m/>
    <s v="NOT PROVIDED"/>
    <s v="LOW PRICE"/>
  </r>
  <r>
    <x v="108"/>
    <n v="450"/>
    <n v="900"/>
    <n v="450"/>
    <n v="0.5"/>
    <s v="HIGH DISCOUNT"/>
    <n v="1"/>
    <n v="2"/>
    <s v="POOR"/>
    <s v="LOW PRICE"/>
  </r>
  <r>
    <x v="109"/>
    <n v="169"/>
    <n v="320"/>
    <n v="151"/>
    <n v="0.47"/>
    <s v="HIGH DISCOUNT"/>
    <m/>
    <m/>
    <s v="NOT PROVIDED"/>
    <s v="LOW PRIC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x v="0"/>
    <n v="950"/>
    <n v="1525"/>
    <n v="575"/>
    <n v="0.38"/>
    <x v="0"/>
    <x v="0"/>
    <x v="0"/>
    <x v="0"/>
    <x v="0"/>
  </r>
  <r>
    <x v="1"/>
    <n v="527"/>
    <n v="999"/>
    <n v="472"/>
    <n v="0.47"/>
    <x v="1"/>
    <x v="1"/>
    <x v="1"/>
    <x v="1"/>
    <x v="0"/>
  </r>
  <r>
    <x v="2"/>
    <n v="2199"/>
    <n v="2923"/>
    <n v="724"/>
    <n v="0.25"/>
    <x v="0"/>
    <x v="2"/>
    <x v="2"/>
    <x v="0"/>
    <x v="1"/>
  </r>
  <r>
    <x v="3"/>
    <n v="1580"/>
    <n v="2499"/>
    <n v="919"/>
    <n v="0.37"/>
    <x v="0"/>
    <x v="3"/>
    <x v="3"/>
    <x v="0"/>
    <x v="2"/>
  </r>
  <r>
    <x v="4"/>
    <n v="1740"/>
    <n v="2356"/>
    <n v="616"/>
    <n v="0.26"/>
    <x v="0"/>
    <x v="4"/>
    <x v="4"/>
    <x v="0"/>
    <x v="2"/>
  </r>
  <r>
    <x v="5"/>
    <n v="2999"/>
    <n v="3290"/>
    <n v="291"/>
    <n v="0.09"/>
    <x v="2"/>
    <x v="5"/>
    <x v="5"/>
    <x v="1"/>
    <x v="1"/>
  </r>
  <r>
    <x v="6"/>
    <n v="2319"/>
    <n v="3032"/>
    <n v="713"/>
    <n v="0.24"/>
    <x v="0"/>
    <x v="6"/>
    <x v="2"/>
    <x v="0"/>
    <x v="1"/>
  </r>
  <r>
    <x v="7"/>
    <n v="988"/>
    <n v="1580"/>
    <n v="592"/>
    <n v="0.37"/>
    <x v="0"/>
    <x v="0"/>
    <x v="5"/>
    <x v="1"/>
    <x v="0"/>
  </r>
  <r>
    <x v="8"/>
    <n v="1274"/>
    <n v="2800"/>
    <n v="1526"/>
    <n v="0.55000000000000004"/>
    <x v="1"/>
    <x v="4"/>
    <x v="4"/>
    <x v="0"/>
    <x v="2"/>
  </r>
  <r>
    <x v="9"/>
    <n v="1600"/>
    <n v="2929"/>
    <n v="1329"/>
    <n v="0.45"/>
    <x v="1"/>
    <x v="4"/>
    <x v="6"/>
    <x v="1"/>
    <x v="2"/>
  </r>
  <r>
    <x v="10"/>
    <n v="799"/>
    <n v="999"/>
    <n v="200"/>
    <n v="0.2"/>
    <x v="0"/>
    <x v="7"/>
    <x v="1"/>
    <x v="1"/>
    <x v="0"/>
  </r>
  <r>
    <x v="11"/>
    <n v="990"/>
    <n v="1500"/>
    <n v="510"/>
    <n v="0.34"/>
    <x v="0"/>
    <x v="8"/>
    <x v="3"/>
    <x v="0"/>
    <x v="0"/>
  </r>
  <r>
    <x v="12"/>
    <n v="552"/>
    <n v="1035"/>
    <n v="483"/>
    <n v="0.47"/>
    <x v="1"/>
    <x v="7"/>
    <x v="4"/>
    <x v="0"/>
    <x v="0"/>
  </r>
  <r>
    <x v="13"/>
    <n v="501"/>
    <n v="860"/>
    <n v="359"/>
    <n v="0.42"/>
    <x v="1"/>
    <x v="9"/>
    <x v="0"/>
    <x v="0"/>
    <x v="0"/>
  </r>
  <r>
    <x v="14"/>
    <n v="1680"/>
    <n v="2499"/>
    <n v="819"/>
    <n v="0.33"/>
    <x v="0"/>
    <x v="10"/>
    <x v="7"/>
    <x v="1"/>
    <x v="2"/>
  </r>
  <r>
    <x v="15"/>
    <n v="332"/>
    <n v="684"/>
    <n v="352"/>
    <n v="0.51"/>
    <x v="1"/>
    <x v="0"/>
    <x v="8"/>
    <x v="0"/>
    <x v="0"/>
  </r>
  <r>
    <x v="16"/>
    <n v="195"/>
    <n v="360"/>
    <n v="165"/>
    <n v="0.46"/>
    <x v="1"/>
    <x v="0"/>
    <x v="8"/>
    <x v="0"/>
    <x v="0"/>
  </r>
  <r>
    <x v="17"/>
    <n v="2025"/>
    <n v="3971"/>
    <n v="1946"/>
    <n v="0.49"/>
    <x v="1"/>
    <x v="11"/>
    <x v="8"/>
    <x v="0"/>
    <x v="1"/>
  </r>
  <r>
    <x v="18"/>
    <n v="2999"/>
    <n v="3699"/>
    <n v="700"/>
    <n v="0.19"/>
    <x v="2"/>
    <x v="4"/>
    <x v="2"/>
    <x v="0"/>
    <x v="1"/>
  </r>
  <r>
    <x v="19"/>
    <n v="998"/>
    <n v="1966"/>
    <n v="968"/>
    <n v="0.49"/>
    <x v="1"/>
    <x v="12"/>
    <x v="2"/>
    <x v="0"/>
    <x v="0"/>
  </r>
  <r>
    <x v="20"/>
    <n v="38"/>
    <n v="80"/>
    <n v="42"/>
    <n v="0.53"/>
    <x v="1"/>
    <x v="13"/>
    <x v="9"/>
    <x v="1"/>
    <x v="0"/>
  </r>
  <r>
    <x v="21"/>
    <n v="1860"/>
    <n v="3220"/>
    <n v="1360"/>
    <n v="0.42"/>
    <x v="1"/>
    <x v="14"/>
    <x v="10"/>
    <x v="2"/>
    <x v="2"/>
  </r>
  <r>
    <x v="22"/>
    <n v="880"/>
    <n v="1350"/>
    <n v="470"/>
    <n v="0.35"/>
    <x v="0"/>
    <x v="9"/>
    <x v="5"/>
    <x v="1"/>
    <x v="0"/>
  </r>
  <r>
    <x v="23"/>
    <n v="1650"/>
    <n v="2150"/>
    <n v="500"/>
    <n v="0.23"/>
    <x v="0"/>
    <x v="1"/>
    <x v="11"/>
    <x v="1"/>
    <x v="2"/>
  </r>
  <r>
    <x v="24"/>
    <n v="2048"/>
    <n v="4500"/>
    <n v="2452"/>
    <n v="0.54"/>
    <x v="1"/>
    <x v="3"/>
    <x v="12"/>
    <x v="1"/>
    <x v="1"/>
  </r>
  <r>
    <x v="25"/>
    <n v="420"/>
    <n v="647"/>
    <n v="227"/>
    <n v="0.35"/>
    <x v="0"/>
    <x v="15"/>
    <x v="2"/>
    <x v="0"/>
    <x v="0"/>
  </r>
  <r>
    <x v="26"/>
    <n v="2880"/>
    <n v="3520"/>
    <n v="640"/>
    <n v="0.18"/>
    <x v="2"/>
    <x v="7"/>
    <x v="6"/>
    <x v="1"/>
    <x v="1"/>
  </r>
  <r>
    <x v="27"/>
    <n v="1350"/>
    <n v="1990"/>
    <n v="640"/>
    <n v="0.32"/>
    <x v="0"/>
    <x v="13"/>
    <x v="6"/>
    <x v="1"/>
    <x v="2"/>
  </r>
  <r>
    <x v="28"/>
    <n v="1758"/>
    <n v="2499"/>
    <n v="741"/>
    <n v="0.3"/>
    <x v="0"/>
    <x v="16"/>
    <x v="1"/>
    <x v="1"/>
    <x v="2"/>
  </r>
  <r>
    <x v="29"/>
    <n v="2200"/>
    <n v="4080"/>
    <n v="1880"/>
    <n v="0.46"/>
    <x v="1"/>
    <x v="14"/>
    <x v="10"/>
    <x v="2"/>
    <x v="1"/>
  </r>
  <r>
    <x v="30"/>
    <n v="185"/>
    <n v="382"/>
    <n v="197"/>
    <n v="0.52"/>
    <x v="1"/>
    <x v="10"/>
    <x v="12"/>
    <x v="1"/>
    <x v="0"/>
  </r>
  <r>
    <x v="31"/>
    <n v="980"/>
    <n v="1490"/>
    <n v="510"/>
    <n v="0.34"/>
    <x v="0"/>
    <x v="7"/>
    <x v="3"/>
    <x v="0"/>
    <x v="0"/>
  </r>
  <r>
    <x v="32"/>
    <n v="1820"/>
    <n v="3490"/>
    <n v="1670"/>
    <n v="0.48"/>
    <x v="1"/>
    <x v="10"/>
    <x v="12"/>
    <x v="1"/>
    <x v="2"/>
  </r>
  <r>
    <x v="33"/>
    <n v="1940"/>
    <n v="2650"/>
    <n v="710"/>
    <n v="0.27"/>
    <x v="0"/>
    <x v="16"/>
    <x v="3"/>
    <x v="0"/>
    <x v="2"/>
  </r>
  <r>
    <x v="34"/>
    <n v="1980"/>
    <n v="2699"/>
    <n v="719"/>
    <n v="0.27"/>
    <x v="0"/>
    <x v="17"/>
    <x v="0"/>
    <x v="0"/>
    <x v="2"/>
  </r>
  <r>
    <x v="35"/>
    <n v="1620"/>
    <n v="2690"/>
    <n v="1070"/>
    <n v="0.4"/>
    <x v="1"/>
    <x v="18"/>
    <x v="8"/>
    <x v="0"/>
    <x v="2"/>
  </r>
  <r>
    <x v="36"/>
    <n v="171"/>
    <n v="360"/>
    <n v="189"/>
    <n v="0.53"/>
    <x v="1"/>
    <x v="0"/>
    <x v="8"/>
    <x v="0"/>
    <x v="0"/>
  </r>
  <r>
    <x v="37"/>
    <n v="389"/>
    <n v="656"/>
    <n v="267"/>
    <n v="0.41"/>
    <x v="1"/>
    <x v="19"/>
    <x v="12"/>
    <x v="1"/>
    <x v="0"/>
  </r>
  <r>
    <x v="38"/>
    <n v="1620"/>
    <n v="2200"/>
    <n v="580"/>
    <n v="0.26"/>
    <x v="0"/>
    <x v="0"/>
    <x v="0"/>
    <x v="0"/>
    <x v="2"/>
  </r>
  <r>
    <x v="39"/>
    <n v="1980"/>
    <n v="3200"/>
    <n v="1220"/>
    <n v="0.38"/>
    <x v="0"/>
    <x v="14"/>
    <x v="10"/>
    <x v="2"/>
    <x v="2"/>
  </r>
  <r>
    <x v="40"/>
    <n v="2750"/>
    <n v="4471"/>
    <n v="1721"/>
    <n v="0.38"/>
    <x v="0"/>
    <x v="14"/>
    <x v="10"/>
    <x v="2"/>
    <x v="1"/>
  </r>
  <r>
    <x v="41"/>
    <n v="475"/>
    <n v="931"/>
    <n v="456"/>
    <n v="0.49"/>
    <x v="1"/>
    <x v="14"/>
    <x v="10"/>
    <x v="2"/>
    <x v="0"/>
  </r>
  <r>
    <x v="42"/>
    <n v="238"/>
    <n v="476"/>
    <n v="238"/>
    <n v="0.5"/>
    <x v="1"/>
    <x v="14"/>
    <x v="10"/>
    <x v="2"/>
    <x v="0"/>
  </r>
  <r>
    <x v="43"/>
    <n v="610"/>
    <n v="1060"/>
    <n v="450"/>
    <n v="0.42"/>
    <x v="1"/>
    <x v="14"/>
    <x v="10"/>
    <x v="2"/>
    <x v="0"/>
  </r>
  <r>
    <x v="44"/>
    <n v="2132"/>
    <n v="2169"/>
    <n v="37"/>
    <n v="0.02"/>
    <x v="2"/>
    <x v="14"/>
    <x v="10"/>
    <x v="2"/>
    <x v="1"/>
  </r>
  <r>
    <x v="45"/>
    <n v="999"/>
    <n v="2000"/>
    <n v="1001"/>
    <n v="0.5"/>
    <x v="1"/>
    <x v="14"/>
    <x v="10"/>
    <x v="2"/>
    <x v="0"/>
  </r>
  <r>
    <x v="46"/>
    <n v="1190"/>
    <n v="1785"/>
    <n v="595"/>
    <n v="0.33"/>
    <x v="0"/>
    <x v="14"/>
    <x v="10"/>
    <x v="2"/>
    <x v="2"/>
  </r>
  <r>
    <x v="47"/>
    <n v="671"/>
    <n v="1316"/>
    <n v="645"/>
    <n v="0.49"/>
    <x v="1"/>
    <x v="14"/>
    <x v="10"/>
    <x v="2"/>
    <x v="0"/>
  </r>
  <r>
    <x v="48"/>
    <n v="1200"/>
    <n v="1950"/>
    <n v="750"/>
    <n v="0.38"/>
    <x v="0"/>
    <x v="14"/>
    <x v="10"/>
    <x v="2"/>
    <x v="2"/>
  </r>
  <r>
    <x v="49"/>
    <n v="199"/>
    <n v="504"/>
    <n v="305"/>
    <n v="0.61"/>
    <x v="1"/>
    <x v="14"/>
    <x v="10"/>
    <x v="2"/>
    <x v="0"/>
  </r>
  <r>
    <x v="50"/>
    <n v="299"/>
    <n v="600"/>
    <n v="301"/>
    <n v="0.5"/>
    <x v="1"/>
    <x v="14"/>
    <x v="10"/>
    <x v="2"/>
    <x v="0"/>
  </r>
  <r>
    <x v="51"/>
    <n v="1660"/>
    <n v="1699"/>
    <n v="39"/>
    <n v="0.02"/>
    <x v="2"/>
    <x v="14"/>
    <x v="10"/>
    <x v="2"/>
    <x v="2"/>
  </r>
  <r>
    <x v="52"/>
    <n v="299"/>
    <n v="384"/>
    <n v="85"/>
    <n v="0.22"/>
    <x v="0"/>
    <x v="14"/>
    <x v="10"/>
    <x v="2"/>
    <x v="0"/>
  </r>
  <r>
    <x v="53"/>
    <n v="1459"/>
    <n v="1499"/>
    <n v="40"/>
    <n v="0.03"/>
    <x v="2"/>
    <x v="14"/>
    <x v="10"/>
    <x v="2"/>
    <x v="2"/>
  </r>
  <r>
    <x v="54"/>
    <n v="799"/>
    <n v="1343"/>
    <n v="544"/>
    <n v="0.41"/>
    <x v="1"/>
    <x v="14"/>
    <x v="10"/>
    <x v="2"/>
    <x v="0"/>
  </r>
  <r>
    <x v="55"/>
    <n v="499"/>
    <n v="900"/>
    <n v="401"/>
    <n v="0.45"/>
    <x v="1"/>
    <x v="14"/>
    <x v="10"/>
    <x v="2"/>
    <x v="0"/>
  </r>
  <r>
    <x v="56"/>
    <n v="699"/>
    <n v="1343"/>
    <n v="644"/>
    <n v="0.48"/>
    <x v="1"/>
    <x v="14"/>
    <x v="10"/>
    <x v="2"/>
    <x v="0"/>
  </r>
  <r>
    <x v="57"/>
    <n v="799"/>
    <n v="1567"/>
    <n v="768"/>
    <n v="0.49"/>
    <x v="1"/>
    <x v="14"/>
    <x v="10"/>
    <x v="2"/>
    <x v="0"/>
  </r>
  <r>
    <x v="58"/>
    <n v="2799"/>
    <n v="3810"/>
    <n v="1011"/>
    <n v="0.27"/>
    <x v="0"/>
    <x v="14"/>
    <x v="10"/>
    <x v="2"/>
    <x v="1"/>
  </r>
  <r>
    <x v="55"/>
    <n v="399"/>
    <n v="896"/>
    <n v="497"/>
    <n v="0.55000000000000004"/>
    <x v="1"/>
    <x v="14"/>
    <x v="10"/>
    <x v="2"/>
    <x v="0"/>
  </r>
  <r>
    <x v="59"/>
    <n v="2170"/>
    <n v="2500"/>
    <n v="330"/>
    <n v="0.13"/>
    <x v="2"/>
    <x v="9"/>
    <x v="13"/>
    <x v="3"/>
    <x v="1"/>
  </r>
  <r>
    <x v="60"/>
    <n v="458"/>
    <n v="986"/>
    <n v="528"/>
    <n v="0.54"/>
    <x v="1"/>
    <x v="20"/>
    <x v="14"/>
    <x v="1"/>
    <x v="0"/>
  </r>
  <r>
    <x v="61"/>
    <n v="2115"/>
    <n v="4700"/>
    <n v="2585"/>
    <n v="0.55000000000000004"/>
    <x v="1"/>
    <x v="13"/>
    <x v="15"/>
    <x v="3"/>
    <x v="1"/>
  </r>
  <r>
    <x v="62"/>
    <n v="445"/>
    <n v="873"/>
    <n v="428"/>
    <n v="0.49"/>
    <x v="1"/>
    <x v="21"/>
    <x v="16"/>
    <x v="3"/>
    <x v="0"/>
  </r>
  <r>
    <x v="63"/>
    <n v="325"/>
    <n v="680"/>
    <n v="355"/>
    <n v="0.52"/>
    <x v="1"/>
    <x v="5"/>
    <x v="17"/>
    <x v="3"/>
    <x v="0"/>
  </r>
  <r>
    <x v="64"/>
    <n v="1220"/>
    <n v="1555"/>
    <n v="335"/>
    <n v="0.22"/>
    <x v="0"/>
    <x v="22"/>
    <x v="18"/>
    <x v="3"/>
    <x v="2"/>
  </r>
  <r>
    <x v="65"/>
    <n v="990"/>
    <n v="1814"/>
    <n v="824"/>
    <n v="0.45"/>
    <x v="1"/>
    <x v="9"/>
    <x v="19"/>
    <x v="3"/>
    <x v="0"/>
  </r>
  <r>
    <x v="66"/>
    <n v="1000"/>
    <n v="2000"/>
    <n v="1000"/>
    <n v="0.5"/>
    <x v="1"/>
    <x v="3"/>
    <x v="20"/>
    <x v="3"/>
    <x v="2"/>
  </r>
  <r>
    <x v="67"/>
    <n v="3750"/>
    <n v="6143"/>
    <n v="2393"/>
    <n v="0.39"/>
    <x v="0"/>
    <x v="4"/>
    <x v="14"/>
    <x v="1"/>
    <x v="1"/>
  </r>
  <r>
    <x v="68"/>
    <n v="382"/>
    <n v="700"/>
    <n v="318"/>
    <n v="0.45"/>
    <x v="1"/>
    <x v="23"/>
    <x v="21"/>
    <x v="3"/>
    <x v="0"/>
  </r>
  <r>
    <x v="69"/>
    <n v="2300"/>
    <n v="3240"/>
    <n v="940"/>
    <n v="0.28999999999999998"/>
    <x v="0"/>
    <x v="4"/>
    <x v="14"/>
    <x v="1"/>
    <x v="1"/>
  </r>
  <r>
    <x v="70"/>
    <n v="345"/>
    <n v="602"/>
    <n v="257"/>
    <n v="0.43"/>
    <x v="1"/>
    <x v="9"/>
    <x v="20"/>
    <x v="3"/>
    <x v="0"/>
  </r>
  <r>
    <x v="71"/>
    <n v="509"/>
    <n v="899"/>
    <n v="390"/>
    <n v="0.43"/>
    <x v="1"/>
    <x v="4"/>
    <x v="14"/>
    <x v="1"/>
    <x v="0"/>
  </r>
  <r>
    <x v="72"/>
    <n v="968"/>
    <n v="1814"/>
    <n v="846"/>
    <n v="0.47"/>
    <x v="1"/>
    <x v="9"/>
    <x v="19"/>
    <x v="3"/>
    <x v="0"/>
  </r>
  <r>
    <x v="73"/>
    <n v="1570"/>
    <n v="2988"/>
    <n v="1418"/>
    <n v="0.47"/>
    <x v="1"/>
    <x v="3"/>
    <x v="15"/>
    <x v="3"/>
    <x v="2"/>
  </r>
  <r>
    <x v="74"/>
    <n v="790"/>
    <n v="1485"/>
    <n v="695"/>
    <n v="0.47"/>
    <x v="1"/>
    <x v="14"/>
    <x v="10"/>
    <x v="2"/>
    <x v="0"/>
  </r>
  <r>
    <x v="75"/>
    <n v="690"/>
    <n v="1200"/>
    <n v="510"/>
    <n v="0.43"/>
    <x v="1"/>
    <x v="14"/>
    <x v="10"/>
    <x v="2"/>
    <x v="0"/>
  </r>
  <r>
    <x v="76"/>
    <n v="1732"/>
    <n v="1799"/>
    <n v="67"/>
    <n v="0.04"/>
    <x v="2"/>
    <x v="14"/>
    <x v="10"/>
    <x v="2"/>
    <x v="2"/>
  </r>
  <r>
    <x v="77"/>
    <n v="230"/>
    <n v="450"/>
    <n v="220"/>
    <n v="0.49"/>
    <x v="1"/>
    <x v="14"/>
    <x v="10"/>
    <x v="2"/>
    <x v="0"/>
  </r>
  <r>
    <x v="78"/>
    <n v="1189"/>
    <n v="2199"/>
    <n v="1010"/>
    <n v="0.46"/>
    <x v="1"/>
    <x v="18"/>
    <x v="14"/>
    <x v="1"/>
    <x v="2"/>
  </r>
  <r>
    <x v="79"/>
    <n v="979"/>
    <n v="1920"/>
    <n v="941"/>
    <n v="0.49"/>
    <x v="1"/>
    <x v="18"/>
    <x v="8"/>
    <x v="0"/>
    <x v="0"/>
  </r>
  <r>
    <x v="80"/>
    <n v="1460"/>
    <n v="2290"/>
    <n v="830"/>
    <n v="0.36"/>
    <x v="0"/>
    <x v="14"/>
    <x v="10"/>
    <x v="2"/>
    <x v="2"/>
  </r>
  <r>
    <x v="81"/>
    <n v="1666"/>
    <n v="1699"/>
    <n v="33"/>
    <n v="0.02"/>
    <x v="2"/>
    <x v="14"/>
    <x v="10"/>
    <x v="2"/>
    <x v="2"/>
  </r>
  <r>
    <x v="82"/>
    <n v="330"/>
    <n v="647"/>
    <n v="317"/>
    <n v="0.49"/>
    <x v="1"/>
    <x v="18"/>
    <x v="5"/>
    <x v="1"/>
    <x v="0"/>
  </r>
  <r>
    <x v="49"/>
    <n v="176"/>
    <n v="345"/>
    <n v="169"/>
    <n v="0.49"/>
    <x v="1"/>
    <x v="14"/>
    <x v="10"/>
    <x v="2"/>
    <x v="0"/>
  </r>
  <r>
    <x v="83"/>
    <n v="1466"/>
    <n v="1699"/>
    <n v="233"/>
    <n v="0.14000000000000001"/>
    <x v="2"/>
    <x v="14"/>
    <x v="10"/>
    <x v="2"/>
    <x v="2"/>
  </r>
  <r>
    <x v="84"/>
    <n v="274"/>
    <n v="537"/>
    <n v="263"/>
    <n v="0.49"/>
    <x v="1"/>
    <x v="14"/>
    <x v="10"/>
    <x v="2"/>
    <x v="0"/>
  </r>
  <r>
    <x v="85"/>
    <n v="799"/>
    <n v="900"/>
    <n v="101"/>
    <n v="0.11"/>
    <x v="2"/>
    <x v="14"/>
    <x v="10"/>
    <x v="2"/>
    <x v="0"/>
  </r>
  <r>
    <x v="57"/>
    <n v="657"/>
    <n v="1288"/>
    <n v="631"/>
    <n v="0.49"/>
    <x v="1"/>
    <x v="14"/>
    <x v="10"/>
    <x v="2"/>
    <x v="0"/>
  </r>
  <r>
    <x v="86"/>
    <n v="1468"/>
    <n v="1699"/>
    <n v="231"/>
    <n v="0.14000000000000001"/>
    <x v="2"/>
    <x v="14"/>
    <x v="10"/>
    <x v="2"/>
    <x v="2"/>
  </r>
  <r>
    <x v="87"/>
    <n v="630"/>
    <n v="1100"/>
    <n v="470"/>
    <n v="0.43"/>
    <x v="1"/>
    <x v="14"/>
    <x v="10"/>
    <x v="2"/>
    <x v="0"/>
  </r>
  <r>
    <x v="88"/>
    <n v="850"/>
    <n v="1700"/>
    <n v="850"/>
    <n v="0.5"/>
    <x v="1"/>
    <x v="14"/>
    <x v="10"/>
    <x v="2"/>
    <x v="0"/>
  </r>
  <r>
    <x v="89"/>
    <n v="1300"/>
    <n v="2500"/>
    <n v="1200"/>
    <n v="0.48"/>
    <x v="1"/>
    <x v="14"/>
    <x v="10"/>
    <x v="2"/>
    <x v="2"/>
  </r>
  <r>
    <x v="90"/>
    <n v="105"/>
    <n v="200"/>
    <n v="95"/>
    <n v="0.48"/>
    <x v="1"/>
    <x v="14"/>
    <x v="10"/>
    <x v="2"/>
    <x v="0"/>
  </r>
  <r>
    <x v="91"/>
    <n v="899"/>
    <n v="1699"/>
    <n v="800"/>
    <n v="0.47"/>
    <x v="1"/>
    <x v="14"/>
    <x v="10"/>
    <x v="2"/>
    <x v="0"/>
  </r>
  <r>
    <x v="92"/>
    <n v="1200"/>
    <n v="2400"/>
    <n v="1200"/>
    <n v="0.5"/>
    <x v="1"/>
    <x v="14"/>
    <x v="10"/>
    <x v="2"/>
    <x v="2"/>
  </r>
  <r>
    <x v="93"/>
    <n v="1526"/>
    <n v="1660"/>
    <n v="134"/>
    <n v="0.08"/>
    <x v="2"/>
    <x v="14"/>
    <x v="10"/>
    <x v="2"/>
    <x v="2"/>
  </r>
  <r>
    <x v="94"/>
    <n v="1462"/>
    <n v="1499"/>
    <n v="37"/>
    <n v="0.02"/>
    <x v="2"/>
    <x v="14"/>
    <x v="10"/>
    <x v="2"/>
    <x v="2"/>
  </r>
  <r>
    <x v="95"/>
    <n v="248"/>
    <n v="486"/>
    <n v="238"/>
    <n v="0.49"/>
    <x v="1"/>
    <x v="14"/>
    <x v="10"/>
    <x v="2"/>
    <x v="0"/>
  </r>
  <r>
    <x v="96"/>
    <n v="3546"/>
    <n v="3699"/>
    <n v="153"/>
    <n v="0.04"/>
    <x v="2"/>
    <x v="14"/>
    <x v="10"/>
    <x v="2"/>
    <x v="1"/>
  </r>
  <r>
    <x v="97"/>
    <n v="525"/>
    <n v="1029"/>
    <n v="504"/>
    <n v="0.49"/>
    <x v="1"/>
    <x v="14"/>
    <x v="10"/>
    <x v="2"/>
    <x v="0"/>
  </r>
  <r>
    <x v="98"/>
    <n v="1080"/>
    <n v="1874"/>
    <n v="794"/>
    <n v="0.42"/>
    <x v="1"/>
    <x v="14"/>
    <x v="10"/>
    <x v="2"/>
    <x v="2"/>
  </r>
  <r>
    <x v="99"/>
    <n v="3640"/>
    <n v="4588"/>
    <n v="948"/>
    <n v="0.21"/>
    <x v="0"/>
    <x v="18"/>
    <x v="8"/>
    <x v="0"/>
    <x v="1"/>
  </r>
  <r>
    <x v="100"/>
    <n v="1420"/>
    <n v="2420"/>
    <n v="1000"/>
    <n v="0.41"/>
    <x v="1"/>
    <x v="14"/>
    <x v="10"/>
    <x v="2"/>
    <x v="2"/>
  </r>
  <r>
    <x v="101"/>
    <n v="1875"/>
    <n v="1899"/>
    <n v="24"/>
    <n v="0.01"/>
    <x v="2"/>
    <x v="14"/>
    <x v="10"/>
    <x v="2"/>
    <x v="2"/>
  </r>
  <r>
    <x v="102"/>
    <n v="198"/>
    <n v="260"/>
    <n v="62"/>
    <n v="0.24"/>
    <x v="0"/>
    <x v="14"/>
    <x v="10"/>
    <x v="2"/>
    <x v="0"/>
  </r>
  <r>
    <x v="103"/>
    <n v="1150"/>
    <n v="1737"/>
    <n v="587"/>
    <n v="0.34"/>
    <x v="0"/>
    <x v="14"/>
    <x v="10"/>
    <x v="2"/>
    <x v="2"/>
  </r>
  <r>
    <x v="104"/>
    <n v="1190"/>
    <n v="1810"/>
    <n v="620"/>
    <n v="0.34"/>
    <x v="0"/>
    <x v="14"/>
    <x v="10"/>
    <x v="2"/>
    <x v="2"/>
  </r>
  <r>
    <x v="105"/>
    <n v="1658"/>
    <n v="1699"/>
    <n v="41"/>
    <n v="0.02"/>
    <x v="2"/>
    <x v="14"/>
    <x v="10"/>
    <x v="2"/>
    <x v="2"/>
  </r>
  <r>
    <x v="106"/>
    <n v="1768"/>
    <n v="1799"/>
    <n v="31"/>
    <n v="0.02"/>
    <x v="2"/>
    <x v="14"/>
    <x v="10"/>
    <x v="2"/>
    <x v="2"/>
  </r>
  <r>
    <x v="107"/>
    <n v="199"/>
    <n v="553"/>
    <n v="354"/>
    <n v="0.64"/>
    <x v="1"/>
    <x v="14"/>
    <x v="10"/>
    <x v="2"/>
    <x v="0"/>
  </r>
  <r>
    <x v="108"/>
    <n v="450"/>
    <n v="900"/>
    <n v="450"/>
    <n v="0.5"/>
    <x v="1"/>
    <x v="18"/>
    <x v="22"/>
    <x v="3"/>
    <x v="0"/>
  </r>
  <r>
    <x v="109"/>
    <n v="169"/>
    <n v="320"/>
    <n v="151"/>
    <n v="0.47"/>
    <x v="1"/>
    <x v="14"/>
    <x v="1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5C7877-CE00-4710-B4CA-3B42368E4096}"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items count="111">
        <item h="1" x="38"/>
        <item h="1" x="11"/>
        <item x="0"/>
        <item h="1" x="27"/>
        <item h="1" x="31"/>
        <item h="1" x="62"/>
        <item h="1" x="58"/>
        <item h="1" x="9"/>
        <item h="1" x="6"/>
        <item h="1" x="102"/>
        <item h="1" x="81"/>
        <item h="1" x="5"/>
        <item h="1" x="101"/>
        <item h="1" x="92"/>
        <item h="1" x="48"/>
        <item h="1" x="74"/>
        <item h="1" x="67"/>
        <item h="1" x="66"/>
        <item h="1" x="19"/>
        <item h="1" x="75"/>
        <item h="1" x="20"/>
        <item h="1" x="95"/>
        <item h="1" x="12"/>
        <item h="1" x="41"/>
        <item h="1" x="21"/>
        <item h="1" x="59"/>
        <item h="1" x="28"/>
        <item h="1" x="34"/>
        <item h="1" x="33"/>
        <item h="1" x="80"/>
        <item h="1" x="61"/>
        <item h="1" x="107"/>
        <item h="1" x="91"/>
        <item h="1" x="46"/>
        <item h="1" x="77"/>
        <item h="1" x="72"/>
        <item h="1" x="98"/>
        <item h="1" x="100"/>
        <item h="1" x="68"/>
        <item h="1" x="57"/>
        <item h="1" x="15"/>
        <item h="1" x="65"/>
        <item h="1" x="97"/>
        <item h="1" x="43"/>
        <item h="1" x="79"/>
        <item h="1" x="109"/>
        <item h="1" x="50"/>
        <item h="1" x="47"/>
        <item h="1" x="84"/>
        <item h="1" x="104"/>
        <item h="1" x="45"/>
        <item h="1" x="56"/>
        <item h="1" x="36"/>
        <item h="1" x="49"/>
        <item h="1" x="76"/>
        <item h="1" x="54"/>
        <item h="1" x="7"/>
        <item h="1" x="35"/>
        <item h="1" x="73"/>
        <item h="1" x="25"/>
        <item h="1" x="30"/>
        <item h="1" x="23"/>
        <item h="1" x="10"/>
        <item h="1" x="39"/>
        <item h="1" x="82"/>
        <item h="1" x="63"/>
        <item h="1" x="99"/>
        <item h="1" x="69"/>
        <item h="1" x="24"/>
        <item h="1" x="17"/>
        <item h="1" x="13"/>
        <item h="1" x="8"/>
        <item h="1" x="40"/>
        <item h="1" x="32"/>
        <item h="1" x="22"/>
        <item h="1" x="103"/>
        <item h="1" x="18"/>
        <item h="1" x="78"/>
        <item h="1" x="1"/>
        <item h="1" x="96"/>
        <item h="1" x="42"/>
        <item h="1" x="14"/>
        <item h="1" x="87"/>
        <item h="1" x="29"/>
        <item h="1" x="53"/>
        <item h="1" x="60"/>
        <item h="1" x="83"/>
        <item h="1" x="85"/>
        <item h="1" x="16"/>
        <item h="1" x="51"/>
        <item h="1" x="52"/>
        <item h="1" x="4"/>
        <item h="1" x="2"/>
        <item h="1" x="94"/>
        <item h="1" x="26"/>
        <item h="1" x="89"/>
        <item h="1" x="37"/>
        <item h="1" x="90"/>
        <item h="1" x="44"/>
        <item h="1" x="105"/>
        <item h="1" x="55"/>
        <item h="1" x="106"/>
        <item h="1" x="64"/>
        <item h="1" x="88"/>
        <item h="1" x="93"/>
        <item h="1" x="108"/>
        <item h="1" x="86"/>
        <item h="1" x="70"/>
        <item h="1" x="3"/>
        <item h="1" x="71"/>
        <item t="default"/>
      </items>
    </pivotField>
    <pivotField numFmtId="164" showAll="0"/>
    <pivotField numFmtId="164" showAll="0"/>
    <pivotField dataField="1" numFmtId="164" showAll="0"/>
    <pivotField numFmtId="9" showAll="0"/>
    <pivotField showAll="0"/>
    <pivotField showAll="0"/>
    <pivotField showAll="0"/>
    <pivotField showAll="0"/>
    <pivotField showAll="0"/>
  </pivotFields>
  <rowItems count="1">
    <i/>
  </rowItems>
  <colItems count="1">
    <i/>
  </colItems>
  <dataFields count="1">
    <dataField name="Average of Discount Price" fld="3"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CD9426-83D8-4E89-8054-BA896624F6C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98:D99" firstHeaderRow="0" firstDataRow="1" firstDataCol="0"/>
  <pivotFields count="10">
    <pivotField showAll="0"/>
    <pivotField numFmtId="164" showAll="0"/>
    <pivotField numFmtId="164" showAll="0"/>
    <pivotField numFmtId="164" showAll="0"/>
    <pivotField numFmtId="9" showAll="0"/>
    <pivotField showAll="0"/>
    <pivotField dataField="1"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pivotFields>
  <rowItems count="1">
    <i/>
  </rowItems>
  <colFields count="1">
    <field x="-2"/>
  </colFields>
  <colItems count="2">
    <i>
      <x/>
    </i>
    <i i="1">
      <x v="1"/>
    </i>
  </colItems>
  <dataFields count="2">
    <dataField name="Sum of Ratingd" fld="7" baseField="0" baseItem="0"/>
    <dataField name="Average of Review" fld="6" subtotal="average" baseField="7"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4CBB4E-F7E6-4F85-8A51-8F15BEE84EA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62:C73" firstHeaderRow="1" firstDataRow="1" firstDataCol="1"/>
  <pivotFields count="10">
    <pivotField axis="axisRow" showAll="0" measureFilter="1">
      <items count="111">
        <item x="38"/>
        <item x="11"/>
        <item x="0"/>
        <item x="27"/>
        <item x="31"/>
        <item x="62"/>
        <item x="58"/>
        <item x="9"/>
        <item x="6"/>
        <item x="102"/>
        <item x="81"/>
        <item x="5"/>
        <item x="101"/>
        <item x="92"/>
        <item x="48"/>
        <item x="74"/>
        <item x="67"/>
        <item x="66"/>
        <item x="19"/>
        <item x="75"/>
        <item x="20"/>
        <item x="95"/>
        <item x="12"/>
        <item x="41"/>
        <item x="21"/>
        <item x="59"/>
        <item x="28"/>
        <item x="34"/>
        <item x="33"/>
        <item x="80"/>
        <item x="61"/>
        <item x="107"/>
        <item x="91"/>
        <item x="46"/>
        <item x="77"/>
        <item x="72"/>
        <item x="98"/>
        <item x="100"/>
        <item x="68"/>
        <item x="57"/>
        <item x="15"/>
        <item x="65"/>
        <item x="97"/>
        <item x="43"/>
        <item x="79"/>
        <item x="109"/>
        <item x="50"/>
        <item x="47"/>
        <item x="84"/>
        <item x="104"/>
        <item x="45"/>
        <item x="56"/>
        <item x="36"/>
        <item x="49"/>
        <item x="76"/>
        <item x="54"/>
        <item x="7"/>
        <item x="35"/>
        <item x="73"/>
        <item x="25"/>
        <item x="30"/>
        <item x="23"/>
        <item x="10"/>
        <item x="39"/>
        <item x="82"/>
        <item x="63"/>
        <item x="99"/>
        <item x="69"/>
        <item x="24"/>
        <item x="17"/>
        <item x="13"/>
        <item x="8"/>
        <item x="40"/>
        <item x="32"/>
        <item x="22"/>
        <item x="103"/>
        <item x="18"/>
        <item x="78"/>
        <item x="1"/>
        <item x="96"/>
        <item x="42"/>
        <item x="14"/>
        <item x="87"/>
        <item x="29"/>
        <item x="53"/>
        <item x="60"/>
        <item x="83"/>
        <item x="85"/>
        <item x="16"/>
        <item x="51"/>
        <item x="52"/>
        <item x="4"/>
        <item x="2"/>
        <item x="94"/>
        <item x="26"/>
        <item x="89"/>
        <item x="37"/>
        <item x="90"/>
        <item x="44"/>
        <item x="105"/>
        <item x="55"/>
        <item x="106"/>
        <item x="64"/>
        <item x="88"/>
        <item x="93"/>
        <item x="108"/>
        <item x="86"/>
        <item x="70"/>
        <item x="3"/>
        <item x="71"/>
        <item t="default"/>
      </items>
    </pivotField>
    <pivotField numFmtId="164" showAll="0"/>
    <pivotField numFmtId="164" showAll="0"/>
    <pivotField numFmtId="164" showAll="0"/>
    <pivotField numFmtId="9" showAll="0"/>
    <pivotField showAll="0"/>
    <pivotField dataField="1" showAll="0"/>
    <pivotField showAll="0"/>
    <pivotField showAll="0"/>
    <pivotField showAll="0"/>
  </pivotFields>
  <rowFields count="1">
    <field x="0"/>
  </rowFields>
  <rowItems count="11">
    <i>
      <x v="1"/>
    </i>
    <i>
      <x v="5"/>
    </i>
    <i>
      <x v="8"/>
    </i>
    <i>
      <x v="18"/>
    </i>
    <i>
      <x v="26"/>
    </i>
    <i>
      <x v="27"/>
    </i>
    <i>
      <x v="28"/>
    </i>
    <i>
      <x v="59"/>
    </i>
    <i>
      <x v="92"/>
    </i>
    <i>
      <x v="96"/>
    </i>
    <i t="grand">
      <x/>
    </i>
  </rowItems>
  <colItems count="1">
    <i/>
  </colItems>
  <dataFields count="1">
    <dataField name="Sum of Review"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50340D-5975-45F6-8F70-F4C2A251E6B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B23" firstHeaderRow="1" firstDataRow="1" firstDataCol="1"/>
  <pivotFields count="10">
    <pivotField showAll="0"/>
    <pivotField numFmtId="164" showAll="0"/>
    <pivotField numFmtId="164" showAll="0"/>
    <pivotField numFmtId="164" showAll="0"/>
    <pivotField numFmtId="9" showAll="0"/>
    <pivotField showAll="0">
      <items count="4">
        <item h="1" x="1"/>
        <item x="2"/>
        <item h="1" x="0"/>
        <item t="default"/>
      </items>
    </pivotField>
    <pivotField showAll="0"/>
    <pivotField dataField="1" showAll="0"/>
    <pivotField showAll="0">
      <items count="5">
        <item h="1" x="1"/>
        <item h="1" x="0"/>
        <item h="1" x="2"/>
        <item x="3"/>
        <item t="default"/>
      </items>
    </pivotField>
    <pivotField axis="axisRow" showAll="0">
      <items count="4">
        <item x="1"/>
        <item x="0"/>
        <item x="2"/>
        <item t="default"/>
      </items>
    </pivotField>
  </pivotFields>
  <rowFields count="1">
    <field x="9"/>
  </rowFields>
  <rowItems count="2">
    <i>
      <x/>
    </i>
    <i t="grand">
      <x/>
    </i>
  </rowItems>
  <colItems count="1">
    <i/>
  </colItems>
  <dataFields count="1">
    <dataField name="Average of Ratingd" fld="7" subtotal="average" baseField="9"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13E5D8-1609-4860-BA21-9426E3DE7F6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6:B57" firstHeaderRow="1" firstDataRow="1" firstDataCol="1"/>
  <pivotFields count="10">
    <pivotField axis="axisRow" showAll="0" measureFilter="1">
      <items count="111">
        <item x="38"/>
        <item x="11"/>
        <item x="0"/>
        <item x="27"/>
        <item x="31"/>
        <item x="62"/>
        <item x="58"/>
        <item x="9"/>
        <item x="6"/>
        <item x="102"/>
        <item x="81"/>
        <item x="5"/>
        <item x="101"/>
        <item x="92"/>
        <item x="48"/>
        <item x="74"/>
        <item x="67"/>
        <item x="66"/>
        <item x="19"/>
        <item x="75"/>
        <item x="20"/>
        <item x="95"/>
        <item x="12"/>
        <item x="41"/>
        <item x="21"/>
        <item x="59"/>
        <item x="28"/>
        <item x="34"/>
        <item x="33"/>
        <item x="80"/>
        <item x="61"/>
        <item x="107"/>
        <item x="91"/>
        <item x="46"/>
        <item x="77"/>
        <item x="72"/>
        <item x="98"/>
        <item x="100"/>
        <item x="68"/>
        <item x="57"/>
        <item x="15"/>
        <item x="65"/>
        <item x="97"/>
        <item x="43"/>
        <item x="79"/>
        <item x="109"/>
        <item x="50"/>
        <item x="47"/>
        <item x="84"/>
        <item x="104"/>
        <item x="45"/>
        <item x="56"/>
        <item x="36"/>
        <item x="49"/>
        <item x="76"/>
        <item x="54"/>
        <item x="7"/>
        <item x="35"/>
        <item x="73"/>
        <item x="25"/>
        <item x="30"/>
        <item x="23"/>
        <item x="10"/>
        <item x="39"/>
        <item x="82"/>
        <item x="63"/>
        <item x="99"/>
        <item x="69"/>
        <item x="24"/>
        <item x="17"/>
        <item x="13"/>
        <item x="8"/>
        <item x="40"/>
        <item x="32"/>
        <item x="22"/>
        <item x="103"/>
        <item x="18"/>
        <item x="78"/>
        <item x="1"/>
        <item x="96"/>
        <item x="42"/>
        <item x="14"/>
        <item x="87"/>
        <item x="29"/>
        <item x="53"/>
        <item x="60"/>
        <item x="83"/>
        <item x="85"/>
        <item x="16"/>
        <item x="51"/>
        <item x="52"/>
        <item x="4"/>
        <item x="2"/>
        <item x="94"/>
        <item x="26"/>
        <item x="89"/>
        <item x="37"/>
        <item x="90"/>
        <item x="44"/>
        <item x="105"/>
        <item x="55"/>
        <item x="106"/>
        <item x="64"/>
        <item x="88"/>
        <item x="93"/>
        <item x="108"/>
        <item x="86"/>
        <item x="70"/>
        <item x="3"/>
        <item x="71"/>
        <item t="default"/>
      </items>
    </pivotField>
    <pivotField numFmtId="164" showAll="0"/>
    <pivotField numFmtId="164" showAll="0"/>
    <pivotField numFmtId="164" showAll="0"/>
    <pivotField numFmtId="9" showAll="0"/>
    <pivotField showAll="0"/>
    <pivotField showAll="0"/>
    <pivotField dataField="1" showAll="0"/>
    <pivotField showAll="0"/>
    <pivotField showAll="0">
      <items count="4">
        <item x="1"/>
        <item x="0"/>
        <item x="2"/>
        <item t="default"/>
      </items>
    </pivotField>
  </pivotFields>
  <rowFields count="1">
    <field x="0"/>
  </rowFields>
  <rowItems count="11">
    <i>
      <x v="22"/>
    </i>
    <i>
      <x v="40"/>
    </i>
    <i>
      <x v="44"/>
    </i>
    <i>
      <x v="52"/>
    </i>
    <i>
      <x v="57"/>
    </i>
    <i>
      <x v="66"/>
    </i>
    <i>
      <x v="69"/>
    </i>
    <i>
      <x v="71"/>
    </i>
    <i>
      <x v="88"/>
    </i>
    <i>
      <x v="91"/>
    </i>
    <i t="grand">
      <x/>
    </i>
  </rowItems>
  <colItems count="1">
    <i/>
  </colItems>
  <dataFields count="1">
    <dataField name="Average of Ratingd" fld="7" subtotal="average"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C95F30-CA1B-4BAD-A962-250AD7F9491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4:I19" firstHeaderRow="1" firstDataRow="1" firstDataCol="1"/>
  <pivotFields count="10">
    <pivotField dataField="1" showAll="0"/>
    <pivotField numFmtId="164" showAll="0"/>
    <pivotField numFmtId="164" showAll="0"/>
    <pivotField numFmtId="164" showAll="0"/>
    <pivotField numFmtId="9" showAll="0"/>
    <pivotField showAll="0"/>
    <pivotField showAll="0"/>
    <pivotField showAll="0"/>
    <pivotField axis="axisRow" showAll="0">
      <items count="5">
        <item x="1"/>
        <item x="0"/>
        <item x="2"/>
        <item x="3"/>
        <item t="default"/>
      </items>
    </pivotField>
    <pivotField showAll="0"/>
  </pivotFields>
  <rowFields count="1">
    <field x="8"/>
  </rowFields>
  <rowItems count="5">
    <i>
      <x/>
    </i>
    <i>
      <x v="1"/>
    </i>
    <i>
      <x v="2"/>
    </i>
    <i>
      <x v="3"/>
    </i>
    <i t="grand">
      <x/>
    </i>
  </rowItems>
  <colItems count="1">
    <i/>
  </colItems>
  <dataFields count="1">
    <dataField name="Count of Product" fld="0" subtotal="count"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 chart="4" format="9">
      <pivotArea type="data" outline="0" fieldPosition="0">
        <references count="2">
          <reference field="4294967294" count="1" selected="0">
            <x v="0"/>
          </reference>
          <reference field="8" count="1" selected="0">
            <x v="2"/>
          </reference>
        </references>
      </pivotArea>
    </chartFormat>
    <chartFormat chart="4" format="10">
      <pivotArea type="data" outline="0" fieldPosition="0">
        <references count="2">
          <reference field="4294967294" count="1" selected="0">
            <x v="0"/>
          </reference>
          <reference field="8" count="1" selected="0">
            <x v="3"/>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615873-177A-41F4-8FD3-2957A7111DC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B12" firstHeaderRow="1" firstDataRow="1" firstDataCol="1"/>
  <pivotFields count="10">
    <pivotField dataField="1" showAll="0">
      <items count="111">
        <item x="38"/>
        <item x="11"/>
        <item x="0"/>
        <item x="27"/>
        <item x="31"/>
        <item x="62"/>
        <item x="58"/>
        <item x="9"/>
        <item x="6"/>
        <item x="102"/>
        <item x="81"/>
        <item x="5"/>
        <item x="101"/>
        <item x="92"/>
        <item x="48"/>
        <item x="74"/>
        <item x="67"/>
        <item x="66"/>
        <item x="19"/>
        <item x="75"/>
        <item x="20"/>
        <item x="95"/>
        <item x="12"/>
        <item x="41"/>
        <item x="21"/>
        <item x="59"/>
        <item x="28"/>
        <item x="34"/>
        <item x="33"/>
        <item x="80"/>
        <item x="61"/>
        <item x="107"/>
        <item x="91"/>
        <item x="46"/>
        <item x="77"/>
        <item x="72"/>
        <item x="98"/>
        <item x="100"/>
        <item x="68"/>
        <item x="57"/>
        <item x="15"/>
        <item x="65"/>
        <item x="97"/>
        <item x="43"/>
        <item x="79"/>
        <item x="109"/>
        <item x="50"/>
        <item x="47"/>
        <item x="84"/>
        <item x="104"/>
        <item x="45"/>
        <item x="56"/>
        <item x="36"/>
        <item x="49"/>
        <item x="76"/>
        <item x="54"/>
        <item x="7"/>
        <item x="35"/>
        <item x="73"/>
        <item x="25"/>
        <item x="30"/>
        <item x="23"/>
        <item x="10"/>
        <item x="39"/>
        <item x="82"/>
        <item x="63"/>
        <item x="99"/>
        <item x="69"/>
        <item x="24"/>
        <item x="17"/>
        <item x="13"/>
        <item x="8"/>
        <item x="40"/>
        <item x="32"/>
        <item x="22"/>
        <item x="103"/>
        <item x="18"/>
        <item x="78"/>
        <item x="1"/>
        <item x="96"/>
        <item x="42"/>
        <item x="14"/>
        <item x="87"/>
        <item x="29"/>
        <item x="53"/>
        <item x="60"/>
        <item x="83"/>
        <item x="85"/>
        <item x="16"/>
        <item x="51"/>
        <item x="52"/>
        <item x="4"/>
        <item x="2"/>
        <item x="94"/>
        <item x="26"/>
        <item x="89"/>
        <item x="37"/>
        <item x="90"/>
        <item x="44"/>
        <item x="105"/>
        <item x="55"/>
        <item x="106"/>
        <item x="64"/>
        <item x="88"/>
        <item x="93"/>
        <item x="108"/>
        <item x="86"/>
        <item x="70"/>
        <item x="3"/>
        <item x="71"/>
        <item t="default"/>
      </items>
    </pivotField>
    <pivotField numFmtId="164" showAll="0"/>
    <pivotField numFmtId="164" showAll="0"/>
    <pivotField numFmtId="164" showAll="0"/>
    <pivotField numFmtId="9" showAll="0"/>
    <pivotField axis="axisRow" showAll="0">
      <items count="4">
        <item h="1" x="1"/>
        <item x="2"/>
        <item h="1" x="0"/>
        <item t="default"/>
      </items>
    </pivotField>
    <pivotField showAll="0"/>
    <pivotField showAll="0"/>
    <pivotField showAll="0">
      <items count="5">
        <item h="1" x="1"/>
        <item h="1" x="0"/>
        <item h="1" x="2"/>
        <item x="3"/>
        <item t="default"/>
      </items>
    </pivotField>
    <pivotField showAll="0">
      <items count="4">
        <item x="1"/>
        <item x="0"/>
        <item x="2"/>
        <item t="default"/>
      </items>
    </pivotField>
  </pivotFields>
  <rowFields count="1">
    <field x="5"/>
  </rowFields>
  <rowItems count="2">
    <i>
      <x v="1"/>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A6B6C3-F1F8-4BDC-A75D-E6BDA0FDEA7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76:D87" firstHeaderRow="1" firstDataRow="1" firstDataCol="1"/>
  <pivotFields count="10">
    <pivotField axis="axisRow" showAll="0" measureFilter="1">
      <items count="111">
        <item x="38"/>
        <item x="11"/>
        <item x="0"/>
        <item x="27"/>
        <item x="31"/>
        <item x="62"/>
        <item x="58"/>
        <item x="9"/>
        <item x="6"/>
        <item x="102"/>
        <item x="81"/>
        <item x="5"/>
        <item x="101"/>
        <item x="92"/>
        <item x="48"/>
        <item x="74"/>
        <item x="67"/>
        <item x="66"/>
        <item x="19"/>
        <item x="75"/>
        <item x="20"/>
        <item x="95"/>
        <item x="12"/>
        <item x="41"/>
        <item x="21"/>
        <item x="59"/>
        <item x="28"/>
        <item x="34"/>
        <item x="33"/>
        <item x="80"/>
        <item x="61"/>
        <item x="107"/>
        <item x="91"/>
        <item x="46"/>
        <item x="77"/>
        <item x="72"/>
        <item x="98"/>
        <item x="100"/>
        <item x="68"/>
        <item x="57"/>
        <item x="15"/>
        <item x="65"/>
        <item x="97"/>
        <item x="43"/>
        <item x="79"/>
        <item x="109"/>
        <item x="50"/>
        <item x="47"/>
        <item x="84"/>
        <item x="104"/>
        <item x="45"/>
        <item x="56"/>
        <item x="36"/>
        <item x="49"/>
        <item x="76"/>
        <item x="54"/>
        <item x="7"/>
        <item x="35"/>
        <item x="73"/>
        <item x="25"/>
        <item x="30"/>
        <item x="23"/>
        <item x="10"/>
        <item x="39"/>
        <item x="82"/>
        <item x="63"/>
        <item x="99"/>
        <item x="69"/>
        <item x="24"/>
        <item x="17"/>
        <item x="13"/>
        <item x="8"/>
        <item x="40"/>
        <item x="32"/>
        <item x="22"/>
        <item x="103"/>
        <item x="18"/>
        <item x="78"/>
        <item x="1"/>
        <item x="96"/>
        <item x="42"/>
        <item x="14"/>
        <item x="87"/>
        <item x="29"/>
        <item x="53"/>
        <item x="60"/>
        <item x="83"/>
        <item x="85"/>
        <item x="16"/>
        <item x="51"/>
        <item x="52"/>
        <item x="4"/>
        <item x="2"/>
        <item x="94"/>
        <item x="26"/>
        <item x="89"/>
        <item x="37"/>
        <item x="90"/>
        <item x="44"/>
        <item x="105"/>
        <item x="55"/>
        <item x="106"/>
        <item x="64"/>
        <item x="88"/>
        <item x="93"/>
        <item x="108"/>
        <item x="86"/>
        <item x="70"/>
        <item x="3"/>
        <item x="71"/>
        <item t="default"/>
      </items>
    </pivotField>
    <pivotField numFmtId="164" showAll="0"/>
    <pivotField numFmtId="164" showAll="0"/>
    <pivotField numFmtId="164" showAll="0"/>
    <pivotField dataField="1" numFmtId="9" showAll="0"/>
    <pivotField showAll="0"/>
    <pivotField showAll="0"/>
    <pivotField showAll="0"/>
    <pivotField showAll="0"/>
    <pivotField showAll="0"/>
  </pivotFields>
  <rowFields count="1">
    <field x="0"/>
  </rowFields>
  <rowItems count="11">
    <i>
      <x v="20"/>
    </i>
    <i>
      <x v="30"/>
    </i>
    <i>
      <x v="31"/>
    </i>
    <i>
      <x v="52"/>
    </i>
    <i>
      <x v="53"/>
    </i>
    <i>
      <x v="60"/>
    </i>
    <i>
      <x v="65"/>
    </i>
    <i>
      <x v="68"/>
    </i>
    <i>
      <x v="71"/>
    </i>
    <i>
      <x v="85"/>
    </i>
    <i t="grand">
      <x/>
    </i>
  </rowItems>
  <colItems count="1">
    <i/>
  </colItems>
  <dataFields count="1">
    <dataField name="Average of Discount" fld="4" subtotal="average" baseField="0" baseItem="0" numFmtId="9"/>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294331-C85A-42C4-A8FD-38EA7EBA05F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109:D110" firstHeaderRow="0" firstDataRow="1" firstDataCol="0"/>
  <pivotFields count="10">
    <pivotField showAll="0"/>
    <pivotField numFmtId="164" showAll="0"/>
    <pivotField numFmtId="164" showAll="0"/>
    <pivotField numFmtId="164" showAll="0"/>
    <pivotField dataField="1" numFmtId="9" showAll="0"/>
    <pivotField showAll="0"/>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pivotField showAll="0"/>
    <pivotField showAll="0"/>
  </pivotFields>
  <rowItems count="1">
    <i/>
  </rowItems>
  <colFields count="1">
    <field x="-2"/>
  </colFields>
  <colItems count="2">
    <i>
      <x/>
    </i>
    <i i="1">
      <x v="1"/>
    </i>
  </colItems>
  <dataFields count="2">
    <dataField name="Average of Discount" fld="4" subtotal="average" baseField="0" baseItem="1" numFmtId="9"/>
    <dataField name="Average of Review" fld="6"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7CC6DA-099B-47D7-ABC8-A3F87EB73F92}"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3" firstHeaderRow="1" firstDataRow="1" firstDataCol="1"/>
  <pivotFields count="10">
    <pivotField dataField="1" showAll="0">
      <items count="111">
        <item x="38"/>
        <item x="11"/>
        <item x="0"/>
        <item x="27"/>
        <item x="31"/>
        <item x="62"/>
        <item x="58"/>
        <item x="9"/>
        <item x="6"/>
        <item x="102"/>
        <item x="81"/>
        <item x="5"/>
        <item x="101"/>
        <item x="92"/>
        <item x="48"/>
        <item x="74"/>
        <item x="67"/>
        <item x="66"/>
        <item x="19"/>
        <item x="75"/>
        <item x="20"/>
        <item x="95"/>
        <item x="12"/>
        <item x="41"/>
        <item x="21"/>
        <item x="59"/>
        <item x="28"/>
        <item x="34"/>
        <item x="33"/>
        <item x="80"/>
        <item x="61"/>
        <item x="107"/>
        <item x="91"/>
        <item x="46"/>
        <item x="77"/>
        <item x="72"/>
        <item x="98"/>
        <item x="100"/>
        <item x="68"/>
        <item x="57"/>
        <item x="15"/>
        <item x="65"/>
        <item x="97"/>
        <item x="43"/>
        <item x="79"/>
        <item x="109"/>
        <item x="50"/>
        <item x="47"/>
        <item x="84"/>
        <item x="104"/>
        <item x="45"/>
        <item x="56"/>
        <item x="36"/>
        <item x="49"/>
        <item x="76"/>
        <item x="54"/>
        <item x="7"/>
        <item x="35"/>
        <item x="73"/>
        <item x="25"/>
        <item x="30"/>
        <item x="23"/>
        <item x="10"/>
        <item x="39"/>
        <item x="82"/>
        <item x="63"/>
        <item x="99"/>
        <item x="69"/>
        <item x="24"/>
        <item x="17"/>
        <item x="13"/>
        <item x="8"/>
        <item x="40"/>
        <item x="32"/>
        <item x="22"/>
        <item x="103"/>
        <item x="18"/>
        <item x="78"/>
        <item x="1"/>
        <item x="96"/>
        <item x="42"/>
        <item x="14"/>
        <item x="87"/>
        <item x="29"/>
        <item x="53"/>
        <item x="60"/>
        <item x="83"/>
        <item x="85"/>
        <item x="16"/>
        <item x="51"/>
        <item x="52"/>
        <item x="4"/>
        <item x="2"/>
        <item x="94"/>
        <item x="26"/>
        <item x="89"/>
        <item x="37"/>
        <item x="90"/>
        <item x="44"/>
        <item x="105"/>
        <item x="55"/>
        <item x="106"/>
        <item x="64"/>
        <item x="88"/>
        <item x="93"/>
        <item x="108"/>
        <item x="86"/>
        <item x="70"/>
        <item x="3"/>
        <item x="71"/>
        <item t="default"/>
      </items>
    </pivotField>
    <pivotField numFmtId="164" showAll="0"/>
    <pivotField numFmtId="164" showAll="0"/>
    <pivotField numFmtId="164" showAll="0"/>
    <pivotField numFmtId="9" showAll="0"/>
    <pivotField showAll="0">
      <items count="4">
        <item h="1" x="1"/>
        <item x="2"/>
        <item h="1" x="0"/>
        <item t="default"/>
      </items>
    </pivotField>
    <pivotField showAll="0"/>
    <pivotField showAll="0"/>
    <pivotField axis="axisRow" showAll="0">
      <items count="5">
        <item h="1" x="1"/>
        <item h="1" x="0"/>
        <item h="1" x="2"/>
        <item x="3"/>
        <item t="default"/>
      </items>
    </pivotField>
    <pivotField showAll="0">
      <items count="4">
        <item x="1"/>
        <item x="0"/>
        <item x="2"/>
        <item t="default"/>
      </items>
    </pivotField>
  </pivotFields>
  <rowFields count="1">
    <field x="8"/>
  </rowFields>
  <rowItems count="2">
    <i>
      <x v="3"/>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95DA97-ACB6-45E3-B1BB-BAA0D51AD24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2:B36" firstHeaderRow="1" firstDataRow="1" firstDataCol="1"/>
  <pivotFields count="10">
    <pivotField showAll="0"/>
    <pivotField numFmtId="164" showAll="0"/>
    <pivotField numFmtId="164" showAll="0"/>
    <pivotField numFmtId="164" showAll="0"/>
    <pivotField numFmtId="9" showAll="0"/>
    <pivotField axis="axisRow" showAll="0">
      <items count="4">
        <item x="1"/>
        <item x="2"/>
        <item x="0"/>
        <item t="default"/>
      </items>
    </pivotField>
    <pivotField dataField="1" showAll="0"/>
    <pivotField showAll="0"/>
    <pivotField showAll="0"/>
    <pivotField showAll="0"/>
  </pivotFields>
  <rowFields count="1">
    <field x="5"/>
  </rowFields>
  <rowItems count="4">
    <i>
      <x/>
    </i>
    <i>
      <x v="1"/>
    </i>
    <i>
      <x v="2"/>
    </i>
    <i t="grand">
      <x/>
    </i>
  </rowItems>
  <colItems count="1">
    <i/>
  </colItems>
  <dataFields count="1">
    <dataField name="Average of Review" fld="6" subtotal="average"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1D2E7705-B1D7-456D-B596-0575E993E804}" sourceName="Discount category">
  <pivotTables>
    <pivotTable tabId="14" name="PivotTable1"/>
    <pivotTable tabId="14" name="PivotTable2"/>
    <pivotTable tabId="14" name="PivotTable27"/>
  </pivotTables>
  <data>
    <tabular pivotCacheId="912058028">
      <items count="3">
        <i x="1"/>
        <i x="2"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1F09ACFA-8DB3-4638-9444-352F579BB4D5}" sourceName="Rating Category">
  <pivotTables>
    <pivotTable tabId="14" name="PivotTable1"/>
    <pivotTable tabId="14" name="PivotTable2"/>
    <pivotTable tabId="14" name="PivotTable27"/>
  </pivotTables>
  <data>
    <tabular pivotCacheId="912058028">
      <items count="4">
        <i x="1"/>
        <i x="0"/>
        <i x="2"/>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6306D14C-A927-4CE0-9B25-F8DFA9745832}" sourceName="Price Category">
  <pivotTables>
    <pivotTable tabId="14" name="PivotTable4"/>
    <pivotTable tabId="14" name="PivotTable1"/>
    <pivotTable tabId="14" name="PivotTable2"/>
    <pivotTable tabId="14" name="PivotTable27"/>
  </pivotTables>
  <data>
    <tabular pivotCacheId="91205802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B201381D-7A5B-4C28-B1A0-67C1BA512129}" cache="Slicer_Discount_category" caption="Discount category" rowHeight="241300"/>
  <slicer name="Rating Category" xr10:uid="{9D93A806-0378-45DC-93B7-09BA7FF9BA7C}" cache="Slicer_Rating_Category" caption="Rating Category" rowHeight="241300"/>
  <slicer name="Price Category" xr10:uid="{44B54E71-D1F4-4995-833D-2D9D8F4EF475}" cache="Slicer_Price_Category" caption="Price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1" xr10:uid="{D2C7B135-D9A2-43D1-BE99-F4B7D1E11712}" cache="Slicer_Discount_category" caption="Discount category" style="SlicerStyleLight6" rowHeight="241300"/>
  <slicer name="Rating Category 1" xr10:uid="{AC55C76F-33EA-457A-8A2B-9835991745E1}" cache="Slicer_Rating_Category" caption="Rating Category" style="SlicerStyleLight6" rowHeight="241300"/>
  <slicer name="Price Category 1" xr10:uid="{8CBA665D-04A8-4844-BA2E-476639860F70}" cache="Slicer_Price_Category" caption="Price Category"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18DE8A-E7ED-4D4B-BE35-974FCC5B6991}" name="tblproducts" displayName="tblproducts" ref="A1:J114" totalsRowShown="0" headerRowDxfId="10" tableBorderDxfId="9">
  <autoFilter ref="A1:J114" xr:uid="{F318DE8A-E7ED-4D4B-BE35-974FCC5B6991}"/>
  <tableColumns count="10">
    <tableColumn id="1" xr3:uid="{CD778F00-98AD-45F1-8A85-6356B09E8E01}" name="Product"/>
    <tableColumn id="2" xr3:uid="{4CCB9DF9-2B49-4575-BDAF-4886BFAB0625}" name="Current price" dataDxfId="8"/>
    <tableColumn id="3" xr3:uid="{33D05B34-4E5D-406B-851D-B7D375394FFB}" name="Old price" dataDxfId="7"/>
    <tableColumn id="4" xr3:uid="{E135AE30-96CB-4B51-BB0D-01B0007CF7FD}" name="Discount Price" dataDxfId="6">
      <calculatedColumnFormula>C2-B2</calculatedColumnFormula>
    </tableColumn>
    <tableColumn id="5" xr3:uid="{7D536527-0187-426B-A0CE-0B83E03E9A9E}" name="Discount" dataDxfId="5"/>
    <tableColumn id="6" xr3:uid="{06CB0D2E-7205-47BC-91BF-CE5717751667}" name="Discount category" dataDxfId="4">
      <calculatedColumnFormula>IF(E2&lt;20%,"LOW DISCOUNT",IF(E2&lt;40%,"MEDIUM DISCOUNT","HIGH DISCOUNT"))</calculatedColumnFormula>
    </tableColumn>
    <tableColumn id="7" xr3:uid="{2792FEAD-2089-4D2C-A285-3AC4F8D63299}" name="Review" dataDxfId="3"/>
    <tableColumn id="8" xr3:uid="{B4A9CD90-0B28-4169-A8FA-141B043A71B2}" name="Ratingd" dataDxfId="2"/>
    <tableColumn id="9" xr3:uid="{6D1DEDF5-BCB5-4C73-ADB4-9148431296EF}" name="Rating Category" dataDxfId="1">
      <calculatedColumnFormula>IF(ISBLANK(H2),"NOT PROVIDED",IF(H2&lt;3,"POOR",IF(H2&lt;4.5,"AVERAGE","EXCELLENT")))</calculatedColumnFormula>
    </tableColumn>
    <tableColumn id="10" xr3:uid="{083A9D87-1591-43E4-B8B8-D9487C7B1368}" name="Price Category" dataDxfId="0">
      <calculatedColumnFormula>IF(B2&lt;1000,"LOW PRICE",IF(B2&lt;2000,"MEDIUM PRICE","HIGH 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7.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9250A-33EA-4629-BD52-B0C00E6CC05F}">
  <dimension ref="A1:F116"/>
  <sheetViews>
    <sheetView workbookViewId="0">
      <selection activeCell="H3" sqref="H3"/>
    </sheetView>
  </sheetViews>
  <sheetFormatPr defaultRowHeight="14.5" x14ac:dyDescent="0.35"/>
  <cols>
    <col min="1" max="1" width="89.1796875" bestFit="1" customWidth="1"/>
  </cols>
  <sheetData>
    <row r="1" spans="1:6" x14ac:dyDescent="0.35">
      <c r="A1" t="s">
        <v>0</v>
      </c>
      <c r="B1" t="s">
        <v>1</v>
      </c>
      <c r="C1" t="s">
        <v>2</v>
      </c>
      <c r="D1" t="s">
        <v>3</v>
      </c>
      <c r="E1" t="s">
        <v>4</v>
      </c>
      <c r="F1" t="s">
        <v>5</v>
      </c>
    </row>
    <row r="2" spans="1:6" x14ac:dyDescent="0.35">
      <c r="A2" t="s">
        <v>6</v>
      </c>
      <c r="B2" t="s">
        <v>7</v>
      </c>
      <c r="C2" t="s">
        <v>8</v>
      </c>
      <c r="D2" s="1">
        <v>0.38</v>
      </c>
      <c r="E2">
        <v>-2</v>
      </c>
      <c r="F2" t="s">
        <v>9</v>
      </c>
    </row>
    <row r="3" spans="1:6" x14ac:dyDescent="0.35">
      <c r="A3" t="s">
        <v>10</v>
      </c>
      <c r="B3" t="s">
        <v>11</v>
      </c>
      <c r="C3" t="s">
        <v>12</v>
      </c>
      <c r="D3" s="1">
        <v>0.47</v>
      </c>
      <c r="E3">
        <v>-14</v>
      </c>
      <c r="F3" t="s">
        <v>13</v>
      </c>
    </row>
    <row r="4" spans="1:6" x14ac:dyDescent="0.35">
      <c r="A4" t="s">
        <v>14</v>
      </c>
      <c r="B4" t="s">
        <v>15</v>
      </c>
      <c r="C4" t="s">
        <v>16</v>
      </c>
      <c r="D4" s="1">
        <v>0.25</v>
      </c>
      <c r="E4">
        <v>-24</v>
      </c>
      <c r="F4" t="s">
        <v>17</v>
      </c>
    </row>
    <row r="5" spans="1:6" x14ac:dyDescent="0.35">
      <c r="A5" t="s">
        <v>18</v>
      </c>
      <c r="B5" t="s">
        <v>19</v>
      </c>
      <c r="C5" t="s">
        <v>20</v>
      </c>
      <c r="D5" s="1">
        <v>0.37</v>
      </c>
      <c r="E5">
        <v>-7</v>
      </c>
      <c r="F5" t="s">
        <v>21</v>
      </c>
    </row>
    <row r="6" spans="1:6" x14ac:dyDescent="0.35">
      <c r="A6" t="s">
        <v>22</v>
      </c>
      <c r="B6" t="s">
        <v>23</v>
      </c>
      <c r="C6" t="s">
        <v>24</v>
      </c>
      <c r="D6" s="1">
        <v>0.26</v>
      </c>
      <c r="E6">
        <v>-5</v>
      </c>
      <c r="F6" t="s">
        <v>25</v>
      </c>
    </row>
    <row r="7" spans="1:6" x14ac:dyDescent="0.35">
      <c r="A7" t="s">
        <v>26</v>
      </c>
      <c r="B7" t="s">
        <v>27</v>
      </c>
      <c r="C7" t="s">
        <v>28</v>
      </c>
      <c r="D7" s="1">
        <v>0.09</v>
      </c>
      <c r="E7">
        <v>-15</v>
      </c>
      <c r="F7" t="s">
        <v>29</v>
      </c>
    </row>
    <row r="8" spans="1:6" x14ac:dyDescent="0.35">
      <c r="A8" t="s">
        <v>30</v>
      </c>
      <c r="B8" t="s">
        <v>31</v>
      </c>
      <c r="C8" t="s">
        <v>32</v>
      </c>
      <c r="D8" s="1">
        <v>0.24</v>
      </c>
      <c r="E8">
        <v>-55</v>
      </c>
      <c r="F8" t="s">
        <v>17</v>
      </c>
    </row>
    <row r="9" spans="1:6" x14ac:dyDescent="0.35">
      <c r="A9" t="s">
        <v>33</v>
      </c>
      <c r="B9" t="s">
        <v>34</v>
      </c>
      <c r="C9" t="s">
        <v>19</v>
      </c>
      <c r="D9" s="1">
        <v>0.37</v>
      </c>
      <c r="E9">
        <v>-2</v>
      </c>
      <c r="F9" t="s">
        <v>29</v>
      </c>
    </row>
    <row r="10" spans="1:6" x14ac:dyDescent="0.35">
      <c r="A10" t="s">
        <v>35</v>
      </c>
      <c r="B10" t="s">
        <v>36</v>
      </c>
      <c r="C10" t="s">
        <v>37</v>
      </c>
      <c r="D10" s="1">
        <v>0.55000000000000004</v>
      </c>
      <c r="E10">
        <v>-5</v>
      </c>
      <c r="F10" t="s">
        <v>25</v>
      </c>
    </row>
    <row r="11" spans="1:6" x14ac:dyDescent="0.35">
      <c r="A11" t="s">
        <v>38</v>
      </c>
      <c r="B11" t="s">
        <v>39</v>
      </c>
      <c r="C11" t="s">
        <v>40</v>
      </c>
      <c r="D11" s="1">
        <v>0.45</v>
      </c>
      <c r="E11">
        <v>-5</v>
      </c>
      <c r="F11" t="s">
        <v>41</v>
      </c>
    </row>
    <row r="12" spans="1:6" x14ac:dyDescent="0.35">
      <c r="A12" t="s">
        <v>42</v>
      </c>
      <c r="B12" t="s">
        <v>43</v>
      </c>
      <c r="C12" t="s">
        <v>12</v>
      </c>
      <c r="D12" s="1">
        <v>0.2</v>
      </c>
      <c r="E12">
        <v>-12</v>
      </c>
      <c r="F12" t="s">
        <v>13</v>
      </c>
    </row>
    <row r="13" spans="1:6" x14ac:dyDescent="0.35">
      <c r="A13" t="s">
        <v>44</v>
      </c>
      <c r="B13" t="s">
        <v>45</v>
      </c>
      <c r="C13" t="s">
        <v>46</v>
      </c>
      <c r="D13" s="1">
        <v>0.34</v>
      </c>
      <c r="E13">
        <v>-39</v>
      </c>
      <c r="F13" t="s">
        <v>21</v>
      </c>
    </row>
    <row r="14" spans="1:6" x14ac:dyDescent="0.35">
      <c r="A14" t="s">
        <v>47</v>
      </c>
      <c r="B14" t="s">
        <v>48</v>
      </c>
      <c r="C14" t="s">
        <v>49</v>
      </c>
      <c r="D14" s="1">
        <v>0.47</v>
      </c>
      <c r="E14">
        <v>-12</v>
      </c>
      <c r="F14" t="s">
        <v>25</v>
      </c>
    </row>
    <row r="15" spans="1:6" x14ac:dyDescent="0.35">
      <c r="A15" t="s">
        <v>50</v>
      </c>
      <c r="B15" t="s">
        <v>51</v>
      </c>
      <c r="C15" t="s">
        <v>52</v>
      </c>
      <c r="D15" s="1">
        <v>0.42</v>
      </c>
      <c r="E15">
        <v>-6</v>
      </c>
      <c r="F15" t="s">
        <v>9</v>
      </c>
    </row>
    <row r="16" spans="1:6" x14ac:dyDescent="0.35">
      <c r="A16" t="s">
        <v>53</v>
      </c>
      <c r="B16" t="s">
        <v>54</v>
      </c>
      <c r="C16" t="s">
        <v>20</v>
      </c>
      <c r="D16" s="1">
        <v>0.33</v>
      </c>
      <c r="E16">
        <v>-9</v>
      </c>
      <c r="F16" t="s">
        <v>55</v>
      </c>
    </row>
    <row r="17" spans="1:6" x14ac:dyDescent="0.35">
      <c r="A17" t="s">
        <v>56</v>
      </c>
      <c r="B17" t="s">
        <v>57</v>
      </c>
      <c r="C17" t="s">
        <v>58</v>
      </c>
      <c r="D17" s="1">
        <v>0.51</v>
      </c>
      <c r="E17">
        <v>-2</v>
      </c>
      <c r="F17" t="s">
        <v>59</v>
      </c>
    </row>
    <row r="18" spans="1:6" x14ac:dyDescent="0.35">
      <c r="A18" t="s">
        <v>60</v>
      </c>
      <c r="B18" t="s">
        <v>61</v>
      </c>
      <c r="C18" t="s">
        <v>62</v>
      </c>
      <c r="D18" s="1">
        <v>0.46</v>
      </c>
      <c r="E18">
        <v>-2</v>
      </c>
      <c r="F18" t="s">
        <v>59</v>
      </c>
    </row>
    <row r="19" spans="1:6" x14ac:dyDescent="0.35">
      <c r="A19" t="s">
        <v>63</v>
      </c>
      <c r="B19" t="s">
        <v>64</v>
      </c>
      <c r="C19" t="s">
        <v>65</v>
      </c>
      <c r="D19" s="1">
        <v>0.49</v>
      </c>
      <c r="E19">
        <v>-3</v>
      </c>
      <c r="F19" t="s">
        <v>59</v>
      </c>
    </row>
    <row r="20" spans="1:6" x14ac:dyDescent="0.35">
      <c r="A20" t="s">
        <v>66</v>
      </c>
      <c r="B20" t="s">
        <v>27</v>
      </c>
      <c r="C20" t="s">
        <v>67</v>
      </c>
      <c r="D20" s="1">
        <v>0.19</v>
      </c>
      <c r="E20">
        <v>-5</v>
      </c>
      <c r="F20" t="s">
        <v>17</v>
      </c>
    </row>
    <row r="21" spans="1:6" x14ac:dyDescent="0.35">
      <c r="A21" t="s">
        <v>68</v>
      </c>
      <c r="B21" t="s">
        <v>69</v>
      </c>
      <c r="C21" t="s">
        <v>70</v>
      </c>
      <c r="D21" s="1">
        <v>0.49</v>
      </c>
      <c r="E21">
        <v>-44</v>
      </c>
      <c r="F21" t="s">
        <v>17</v>
      </c>
    </row>
    <row r="22" spans="1:6" x14ac:dyDescent="0.35">
      <c r="A22" t="s">
        <v>71</v>
      </c>
      <c r="B22" t="s">
        <v>72</v>
      </c>
      <c r="C22" t="s">
        <v>73</v>
      </c>
      <c r="D22" s="1">
        <v>0.53</v>
      </c>
      <c r="E22">
        <v>-13</v>
      </c>
      <c r="F22" t="s">
        <v>74</v>
      </c>
    </row>
    <row r="23" spans="1:6" x14ac:dyDescent="0.35">
      <c r="A23" t="s">
        <v>75</v>
      </c>
      <c r="B23" t="s">
        <v>76</v>
      </c>
      <c r="C23" t="s">
        <v>77</v>
      </c>
      <c r="D23" s="1">
        <v>0.42</v>
      </c>
    </row>
    <row r="24" spans="1:6" x14ac:dyDescent="0.35">
      <c r="A24" t="s">
        <v>78</v>
      </c>
      <c r="B24" t="s">
        <v>79</v>
      </c>
      <c r="C24" t="s">
        <v>80</v>
      </c>
      <c r="D24" s="1">
        <v>0.35</v>
      </c>
      <c r="E24">
        <v>-6</v>
      </c>
      <c r="F24" t="s">
        <v>29</v>
      </c>
    </row>
    <row r="25" spans="1:6" x14ac:dyDescent="0.35">
      <c r="A25" t="s">
        <v>81</v>
      </c>
      <c r="B25" t="s">
        <v>82</v>
      </c>
      <c r="C25" t="s">
        <v>83</v>
      </c>
      <c r="D25" s="1">
        <v>0.23</v>
      </c>
      <c r="E25">
        <v>-14</v>
      </c>
      <c r="F25" t="s">
        <v>84</v>
      </c>
    </row>
    <row r="26" spans="1:6" x14ac:dyDescent="0.35">
      <c r="A26" t="s">
        <v>85</v>
      </c>
      <c r="B26" t="s">
        <v>86</v>
      </c>
      <c r="C26" t="s">
        <v>87</v>
      </c>
      <c r="D26" s="1">
        <v>0.54</v>
      </c>
      <c r="E26">
        <v>-7</v>
      </c>
      <c r="F26" t="s">
        <v>88</v>
      </c>
    </row>
    <row r="27" spans="1:6" x14ac:dyDescent="0.35">
      <c r="A27" t="s">
        <v>89</v>
      </c>
      <c r="B27" t="s">
        <v>90</v>
      </c>
      <c r="C27" t="s">
        <v>91</v>
      </c>
      <c r="D27" s="1">
        <v>0.35</v>
      </c>
      <c r="E27">
        <v>-49</v>
      </c>
      <c r="F27" t="s">
        <v>17</v>
      </c>
    </row>
    <row r="28" spans="1:6" x14ac:dyDescent="0.35">
      <c r="A28" t="s">
        <v>92</v>
      </c>
      <c r="B28" t="s">
        <v>93</v>
      </c>
      <c r="C28" t="s">
        <v>94</v>
      </c>
      <c r="D28" s="1">
        <v>0.18</v>
      </c>
      <c r="E28">
        <v>-12</v>
      </c>
      <c r="F28" t="s">
        <v>41</v>
      </c>
    </row>
    <row r="29" spans="1:6" x14ac:dyDescent="0.35">
      <c r="A29" t="s">
        <v>95</v>
      </c>
      <c r="B29" t="s">
        <v>80</v>
      </c>
      <c r="C29" t="s">
        <v>96</v>
      </c>
      <c r="D29" s="1">
        <v>0.32</v>
      </c>
      <c r="E29">
        <v>-13</v>
      </c>
      <c r="F29" t="s">
        <v>41</v>
      </c>
    </row>
    <row r="30" spans="1:6" x14ac:dyDescent="0.35">
      <c r="A30" t="s">
        <v>97</v>
      </c>
      <c r="B30" t="s">
        <v>98</v>
      </c>
      <c r="C30" t="s">
        <v>20</v>
      </c>
      <c r="D30" s="1">
        <v>0.3</v>
      </c>
      <c r="E30">
        <v>-20</v>
      </c>
      <c r="F30" t="s">
        <v>13</v>
      </c>
    </row>
    <row r="31" spans="1:6" x14ac:dyDescent="0.35">
      <c r="A31" t="s">
        <v>99</v>
      </c>
      <c r="B31" t="s">
        <v>100</v>
      </c>
      <c r="C31" t="s">
        <v>101</v>
      </c>
      <c r="D31" s="1">
        <v>0.46</v>
      </c>
    </row>
    <row r="32" spans="1:6" x14ac:dyDescent="0.35">
      <c r="A32" t="s">
        <v>102</v>
      </c>
      <c r="B32" t="s">
        <v>103</v>
      </c>
      <c r="C32" t="s">
        <v>104</v>
      </c>
      <c r="D32" s="1">
        <v>0.52</v>
      </c>
      <c r="E32">
        <v>-9</v>
      </c>
      <c r="F32" t="s">
        <v>88</v>
      </c>
    </row>
    <row r="33" spans="1:6" x14ac:dyDescent="0.35">
      <c r="A33" t="s">
        <v>105</v>
      </c>
      <c r="B33" t="s">
        <v>106</v>
      </c>
      <c r="C33" t="s">
        <v>107</v>
      </c>
      <c r="D33" s="1">
        <v>0.34</v>
      </c>
      <c r="E33">
        <v>-12</v>
      </c>
      <c r="F33" t="s">
        <v>21</v>
      </c>
    </row>
    <row r="34" spans="1:6" x14ac:dyDescent="0.35">
      <c r="A34" t="s">
        <v>108</v>
      </c>
      <c r="B34" t="s">
        <v>109</v>
      </c>
      <c r="C34" t="s">
        <v>110</v>
      </c>
      <c r="D34" s="1">
        <v>0.48</v>
      </c>
      <c r="E34">
        <v>-9</v>
      </c>
      <c r="F34" t="s">
        <v>88</v>
      </c>
    </row>
    <row r="35" spans="1:6" x14ac:dyDescent="0.35">
      <c r="A35" t="s">
        <v>111</v>
      </c>
      <c r="B35" t="s">
        <v>112</v>
      </c>
      <c r="C35" t="s">
        <v>113</v>
      </c>
      <c r="D35" s="1">
        <v>0.27</v>
      </c>
      <c r="E35">
        <v>-20</v>
      </c>
      <c r="F35" t="s">
        <v>21</v>
      </c>
    </row>
    <row r="36" spans="1:6" x14ac:dyDescent="0.35">
      <c r="A36" t="s">
        <v>114</v>
      </c>
      <c r="B36" t="s">
        <v>115</v>
      </c>
      <c r="C36" t="s">
        <v>116</v>
      </c>
      <c r="D36" s="1">
        <v>0.27</v>
      </c>
      <c r="E36">
        <v>-32</v>
      </c>
      <c r="F36" t="s">
        <v>9</v>
      </c>
    </row>
    <row r="37" spans="1:6" x14ac:dyDescent="0.35">
      <c r="A37" t="s">
        <v>117</v>
      </c>
      <c r="B37" t="s">
        <v>118</v>
      </c>
      <c r="C37" t="s">
        <v>119</v>
      </c>
      <c r="D37" s="1">
        <v>0.4</v>
      </c>
      <c r="E37">
        <v>-1</v>
      </c>
      <c r="F37" t="s">
        <v>59</v>
      </c>
    </row>
    <row r="38" spans="1:6" x14ac:dyDescent="0.35">
      <c r="A38" t="s">
        <v>120</v>
      </c>
      <c r="B38" t="s">
        <v>121</v>
      </c>
      <c r="C38" t="s">
        <v>62</v>
      </c>
      <c r="D38" s="1">
        <v>0.53</v>
      </c>
      <c r="E38">
        <v>-2</v>
      </c>
      <c r="F38" t="s">
        <v>59</v>
      </c>
    </row>
    <row r="39" spans="1:6" x14ac:dyDescent="0.35">
      <c r="A39" t="s">
        <v>122</v>
      </c>
      <c r="B39" t="s">
        <v>123</v>
      </c>
      <c r="C39" t="s">
        <v>124</v>
      </c>
      <c r="D39" s="1">
        <v>0.41</v>
      </c>
      <c r="E39">
        <v>-36</v>
      </c>
      <c r="F39" t="s">
        <v>88</v>
      </c>
    </row>
    <row r="40" spans="1:6" x14ac:dyDescent="0.35">
      <c r="A40" t="s">
        <v>125</v>
      </c>
      <c r="B40" t="s">
        <v>126</v>
      </c>
      <c r="C40" t="s">
        <v>127</v>
      </c>
      <c r="D40" s="1">
        <v>0.38</v>
      </c>
      <c r="E40">
        <v>-2</v>
      </c>
      <c r="F40" t="s">
        <v>9</v>
      </c>
    </row>
    <row r="41" spans="1:6" x14ac:dyDescent="0.35">
      <c r="A41" t="s">
        <v>128</v>
      </c>
      <c r="B41" t="s">
        <v>129</v>
      </c>
      <c r="C41" t="s">
        <v>130</v>
      </c>
      <c r="D41" s="1">
        <v>0.38</v>
      </c>
    </row>
    <row r="42" spans="1:6" x14ac:dyDescent="0.35">
      <c r="A42" t="s">
        <v>131</v>
      </c>
      <c r="B42" t="s">
        <v>132</v>
      </c>
      <c r="C42" t="s">
        <v>133</v>
      </c>
      <c r="D42" s="1">
        <v>0.49</v>
      </c>
    </row>
    <row r="43" spans="1:6" x14ac:dyDescent="0.35">
      <c r="A43" t="s">
        <v>134</v>
      </c>
      <c r="B43" t="s">
        <v>135</v>
      </c>
      <c r="C43" t="s">
        <v>136</v>
      </c>
      <c r="D43" s="1">
        <v>0.5</v>
      </c>
    </row>
    <row r="44" spans="1:6" x14ac:dyDescent="0.35">
      <c r="A44" t="s">
        <v>137</v>
      </c>
      <c r="B44" t="s">
        <v>138</v>
      </c>
      <c r="C44" t="s">
        <v>139</v>
      </c>
      <c r="D44" s="1">
        <v>0.42</v>
      </c>
    </row>
    <row r="45" spans="1:6" x14ac:dyDescent="0.35">
      <c r="A45" t="s">
        <v>137</v>
      </c>
      <c r="B45" t="s">
        <v>138</v>
      </c>
      <c r="C45" t="s">
        <v>139</v>
      </c>
      <c r="D45" s="1">
        <v>0.42</v>
      </c>
    </row>
    <row r="46" spans="1:6" x14ac:dyDescent="0.35">
      <c r="A46" t="s">
        <v>140</v>
      </c>
      <c r="B46" t="s">
        <v>141</v>
      </c>
      <c r="C46" t="s">
        <v>142</v>
      </c>
      <c r="D46" s="1">
        <v>0.02</v>
      </c>
    </row>
    <row r="47" spans="1:6" x14ac:dyDescent="0.35">
      <c r="A47" t="s">
        <v>143</v>
      </c>
      <c r="B47" t="s">
        <v>12</v>
      </c>
      <c r="C47" t="s">
        <v>144</v>
      </c>
      <c r="D47" s="1">
        <v>0.5</v>
      </c>
    </row>
    <row r="48" spans="1:6" x14ac:dyDescent="0.35">
      <c r="A48" t="s">
        <v>145</v>
      </c>
      <c r="B48" t="s">
        <v>146</v>
      </c>
      <c r="C48" t="s">
        <v>147</v>
      </c>
      <c r="D48" s="1">
        <v>0.33</v>
      </c>
    </row>
    <row r="49" spans="1:6" x14ac:dyDescent="0.35">
      <c r="A49" t="s">
        <v>148</v>
      </c>
      <c r="B49" t="s">
        <v>149</v>
      </c>
      <c r="C49" t="s">
        <v>150</v>
      </c>
      <c r="D49" s="1">
        <v>0.49</v>
      </c>
    </row>
    <row r="50" spans="1:6" x14ac:dyDescent="0.35">
      <c r="A50" t="s">
        <v>151</v>
      </c>
      <c r="B50" t="s">
        <v>152</v>
      </c>
      <c r="C50" t="s">
        <v>153</v>
      </c>
      <c r="D50" s="1">
        <v>0.38</v>
      </c>
    </row>
    <row r="51" spans="1:6" x14ac:dyDescent="0.35">
      <c r="A51" t="s">
        <v>154</v>
      </c>
      <c r="B51" t="s">
        <v>155</v>
      </c>
      <c r="C51" t="s">
        <v>156</v>
      </c>
      <c r="D51" s="1">
        <v>0.61</v>
      </c>
    </row>
    <row r="52" spans="1:6" x14ac:dyDescent="0.35">
      <c r="A52" t="s">
        <v>157</v>
      </c>
      <c r="B52" t="s">
        <v>158</v>
      </c>
      <c r="C52" t="s">
        <v>159</v>
      </c>
      <c r="D52" s="1">
        <v>0.5</v>
      </c>
    </row>
    <row r="53" spans="1:6" x14ac:dyDescent="0.35">
      <c r="A53" t="s">
        <v>160</v>
      </c>
      <c r="B53" t="s">
        <v>161</v>
      </c>
      <c r="C53" t="s">
        <v>162</v>
      </c>
      <c r="D53" s="1">
        <v>0.02</v>
      </c>
    </row>
    <row r="54" spans="1:6" x14ac:dyDescent="0.35">
      <c r="A54" t="s">
        <v>163</v>
      </c>
      <c r="B54" t="s">
        <v>158</v>
      </c>
      <c r="C54" t="s">
        <v>164</v>
      </c>
      <c r="D54" s="1">
        <v>0.22</v>
      </c>
    </row>
    <row r="55" spans="1:6" x14ac:dyDescent="0.35">
      <c r="A55" t="s">
        <v>165</v>
      </c>
      <c r="B55" t="s">
        <v>166</v>
      </c>
      <c r="C55" t="s">
        <v>167</v>
      </c>
      <c r="D55" s="1">
        <v>0.03</v>
      </c>
    </row>
    <row r="56" spans="1:6" x14ac:dyDescent="0.35">
      <c r="A56" t="s">
        <v>168</v>
      </c>
      <c r="B56" t="s">
        <v>43</v>
      </c>
      <c r="C56" t="s">
        <v>169</v>
      </c>
      <c r="D56" s="1">
        <v>0.41</v>
      </c>
    </row>
    <row r="57" spans="1:6" x14ac:dyDescent="0.35">
      <c r="A57" t="s">
        <v>170</v>
      </c>
      <c r="B57" t="s">
        <v>171</v>
      </c>
      <c r="C57" t="s">
        <v>172</v>
      </c>
      <c r="D57" s="1">
        <v>0.45</v>
      </c>
    </row>
    <row r="58" spans="1:6" x14ac:dyDescent="0.35">
      <c r="A58" t="s">
        <v>173</v>
      </c>
      <c r="B58" t="s">
        <v>174</v>
      </c>
      <c r="C58" t="s">
        <v>169</v>
      </c>
      <c r="D58" s="1">
        <v>0.48</v>
      </c>
    </row>
    <row r="59" spans="1:6" x14ac:dyDescent="0.35">
      <c r="A59" t="s">
        <v>175</v>
      </c>
      <c r="B59" t="s">
        <v>43</v>
      </c>
      <c r="C59" t="s">
        <v>176</v>
      </c>
      <c r="D59" s="1">
        <v>0.49</v>
      </c>
    </row>
    <row r="60" spans="1:6" x14ac:dyDescent="0.35">
      <c r="A60" t="s">
        <v>177</v>
      </c>
      <c r="B60" t="s">
        <v>178</v>
      </c>
      <c r="C60" t="s">
        <v>179</v>
      </c>
      <c r="D60" s="1">
        <v>0.27</v>
      </c>
    </row>
    <row r="61" spans="1:6" x14ac:dyDescent="0.35">
      <c r="A61" t="s">
        <v>170</v>
      </c>
      <c r="B61" t="s">
        <v>180</v>
      </c>
      <c r="C61" t="s">
        <v>181</v>
      </c>
      <c r="D61" s="1">
        <v>0.55000000000000004</v>
      </c>
    </row>
    <row r="62" spans="1:6" x14ac:dyDescent="0.35">
      <c r="A62" t="s">
        <v>182</v>
      </c>
      <c r="B62" t="s">
        <v>183</v>
      </c>
      <c r="C62" t="s">
        <v>184</v>
      </c>
      <c r="D62" s="1">
        <v>0.13</v>
      </c>
      <c r="E62">
        <v>-6</v>
      </c>
      <c r="F62" t="s">
        <v>185</v>
      </c>
    </row>
    <row r="63" spans="1:6" x14ac:dyDescent="0.35">
      <c r="A63" t="s">
        <v>186</v>
      </c>
      <c r="B63" t="s">
        <v>187</v>
      </c>
      <c r="C63" t="s">
        <v>188</v>
      </c>
      <c r="D63" s="1">
        <v>0.54</v>
      </c>
      <c r="E63">
        <v>-10</v>
      </c>
      <c r="F63" t="s">
        <v>189</v>
      </c>
    </row>
    <row r="64" spans="1:6" x14ac:dyDescent="0.35">
      <c r="A64" t="s">
        <v>190</v>
      </c>
      <c r="B64" t="s">
        <v>191</v>
      </c>
      <c r="C64" t="s">
        <v>192</v>
      </c>
      <c r="D64" s="1">
        <v>0.55000000000000004</v>
      </c>
      <c r="E64">
        <v>-13</v>
      </c>
      <c r="F64" t="s">
        <v>193</v>
      </c>
    </row>
    <row r="65" spans="1:6" x14ac:dyDescent="0.35">
      <c r="A65" t="s">
        <v>194</v>
      </c>
      <c r="B65" t="s">
        <v>195</v>
      </c>
      <c r="C65" t="s">
        <v>196</v>
      </c>
      <c r="D65" s="1">
        <v>0.49</v>
      </c>
      <c r="E65">
        <v>-69</v>
      </c>
      <c r="F65" t="s">
        <v>197</v>
      </c>
    </row>
    <row r="66" spans="1:6" x14ac:dyDescent="0.35">
      <c r="A66" t="s">
        <v>198</v>
      </c>
      <c r="B66" t="s">
        <v>199</v>
      </c>
      <c r="C66" t="s">
        <v>200</v>
      </c>
      <c r="D66" s="1">
        <v>0.52</v>
      </c>
      <c r="E66">
        <v>-15</v>
      </c>
      <c r="F66" t="s">
        <v>201</v>
      </c>
    </row>
    <row r="67" spans="1:6" x14ac:dyDescent="0.35">
      <c r="A67" t="s">
        <v>202</v>
      </c>
      <c r="B67" t="s">
        <v>203</v>
      </c>
      <c r="C67" t="s">
        <v>204</v>
      </c>
      <c r="D67" s="1">
        <v>0.22</v>
      </c>
      <c r="E67">
        <v>-16</v>
      </c>
      <c r="F67" t="s">
        <v>205</v>
      </c>
    </row>
    <row r="68" spans="1:6" x14ac:dyDescent="0.35">
      <c r="A68" t="s">
        <v>206</v>
      </c>
      <c r="B68" t="s">
        <v>45</v>
      </c>
      <c r="C68" t="s">
        <v>207</v>
      </c>
      <c r="D68" s="1">
        <v>0.45</v>
      </c>
      <c r="E68">
        <v>-6</v>
      </c>
      <c r="F68" t="s">
        <v>208</v>
      </c>
    </row>
    <row r="69" spans="1:6" x14ac:dyDescent="0.35">
      <c r="A69" t="s">
        <v>209</v>
      </c>
      <c r="B69" t="s">
        <v>210</v>
      </c>
      <c r="C69" t="s">
        <v>144</v>
      </c>
      <c r="D69" s="1">
        <v>0.5</v>
      </c>
      <c r="E69">
        <v>-7</v>
      </c>
      <c r="F69" t="s">
        <v>211</v>
      </c>
    </row>
    <row r="70" spans="1:6" x14ac:dyDescent="0.35">
      <c r="A70" t="s">
        <v>212</v>
      </c>
      <c r="B70" t="s">
        <v>213</v>
      </c>
      <c r="C70" t="s">
        <v>214</v>
      </c>
      <c r="D70" s="1">
        <v>0.39</v>
      </c>
      <c r="E70">
        <v>-5</v>
      </c>
      <c r="F70" t="s">
        <v>189</v>
      </c>
    </row>
    <row r="71" spans="1:6" x14ac:dyDescent="0.35">
      <c r="A71" t="s">
        <v>215</v>
      </c>
      <c r="B71" t="s">
        <v>104</v>
      </c>
      <c r="C71" t="s">
        <v>216</v>
      </c>
      <c r="D71" s="1">
        <v>0.45</v>
      </c>
      <c r="E71">
        <v>-17</v>
      </c>
      <c r="F71" t="s">
        <v>217</v>
      </c>
    </row>
    <row r="72" spans="1:6" x14ac:dyDescent="0.35">
      <c r="A72" t="s">
        <v>218</v>
      </c>
      <c r="B72" t="s">
        <v>219</v>
      </c>
      <c r="C72" t="s">
        <v>220</v>
      </c>
      <c r="D72" s="1">
        <v>0.28999999999999998</v>
      </c>
      <c r="E72">
        <v>-5</v>
      </c>
      <c r="F72" t="s">
        <v>189</v>
      </c>
    </row>
    <row r="73" spans="1:6" x14ac:dyDescent="0.35">
      <c r="A73" t="s">
        <v>221</v>
      </c>
      <c r="B73" t="s">
        <v>222</v>
      </c>
      <c r="C73" t="s">
        <v>223</v>
      </c>
      <c r="D73" s="1">
        <v>0.43</v>
      </c>
      <c r="E73">
        <v>-6</v>
      </c>
      <c r="F73" t="s">
        <v>211</v>
      </c>
    </row>
    <row r="74" spans="1:6" x14ac:dyDescent="0.35">
      <c r="A74" t="s">
        <v>224</v>
      </c>
      <c r="B74" t="s">
        <v>225</v>
      </c>
      <c r="C74" t="s">
        <v>226</v>
      </c>
      <c r="D74" s="1">
        <v>0.43</v>
      </c>
      <c r="E74">
        <v>-5</v>
      </c>
      <c r="F74" t="s">
        <v>189</v>
      </c>
    </row>
    <row r="75" spans="1:6" x14ac:dyDescent="0.35">
      <c r="A75" t="s">
        <v>227</v>
      </c>
      <c r="B75" t="s">
        <v>228</v>
      </c>
      <c r="C75" t="s">
        <v>207</v>
      </c>
      <c r="D75" s="1">
        <v>0.47</v>
      </c>
      <c r="E75">
        <v>-6</v>
      </c>
      <c r="F75" t="s">
        <v>208</v>
      </c>
    </row>
    <row r="76" spans="1:6" x14ac:dyDescent="0.35">
      <c r="A76" t="s">
        <v>229</v>
      </c>
      <c r="B76" t="s">
        <v>230</v>
      </c>
      <c r="C76" t="s">
        <v>231</v>
      </c>
      <c r="D76" s="1">
        <v>0.47</v>
      </c>
      <c r="E76">
        <v>-7</v>
      </c>
      <c r="F76" t="s">
        <v>193</v>
      </c>
    </row>
    <row r="77" spans="1:6" x14ac:dyDescent="0.35">
      <c r="A77" t="s">
        <v>232</v>
      </c>
      <c r="B77" t="s">
        <v>233</v>
      </c>
      <c r="C77" t="s">
        <v>234</v>
      </c>
      <c r="D77" s="1">
        <v>0.47</v>
      </c>
    </row>
    <row r="78" spans="1:6" x14ac:dyDescent="0.35">
      <c r="A78" t="s">
        <v>235</v>
      </c>
      <c r="B78" t="s">
        <v>236</v>
      </c>
      <c r="C78" t="s">
        <v>152</v>
      </c>
      <c r="D78" s="1">
        <v>0.43</v>
      </c>
    </row>
    <row r="79" spans="1:6" x14ac:dyDescent="0.35">
      <c r="A79" t="s">
        <v>237</v>
      </c>
      <c r="B79" t="s">
        <v>238</v>
      </c>
      <c r="C79" t="s">
        <v>239</v>
      </c>
      <c r="D79" s="1">
        <v>0.04</v>
      </c>
    </row>
    <row r="80" spans="1:6" x14ac:dyDescent="0.35">
      <c r="A80" t="s">
        <v>240</v>
      </c>
      <c r="B80" t="s">
        <v>241</v>
      </c>
      <c r="C80" t="s">
        <v>242</v>
      </c>
      <c r="D80" s="1">
        <v>0.49</v>
      </c>
    </row>
    <row r="81" spans="1:6" x14ac:dyDescent="0.35">
      <c r="A81" t="s">
        <v>243</v>
      </c>
      <c r="B81" t="s">
        <v>244</v>
      </c>
      <c r="C81" t="s">
        <v>15</v>
      </c>
      <c r="D81" s="1">
        <v>0.46</v>
      </c>
      <c r="E81">
        <v>-1</v>
      </c>
      <c r="F81" t="s">
        <v>189</v>
      </c>
    </row>
    <row r="82" spans="1:6" x14ac:dyDescent="0.35">
      <c r="A82" t="s">
        <v>245</v>
      </c>
      <c r="B82" t="s">
        <v>246</v>
      </c>
      <c r="C82" t="s">
        <v>247</v>
      </c>
      <c r="D82" s="1">
        <v>0.49</v>
      </c>
      <c r="E82">
        <v>-1</v>
      </c>
      <c r="F82" t="s">
        <v>59</v>
      </c>
    </row>
    <row r="83" spans="1:6" x14ac:dyDescent="0.35">
      <c r="A83" t="s">
        <v>248</v>
      </c>
      <c r="B83" t="s">
        <v>249</v>
      </c>
      <c r="C83" t="s">
        <v>250</v>
      </c>
      <c r="D83" s="1">
        <v>0.36</v>
      </c>
    </row>
    <row r="84" spans="1:6" x14ac:dyDescent="0.35">
      <c r="A84" t="s">
        <v>251</v>
      </c>
      <c r="B84" t="s">
        <v>252</v>
      </c>
      <c r="C84" t="s">
        <v>162</v>
      </c>
      <c r="D84" s="1">
        <v>0.02</v>
      </c>
    </row>
    <row r="85" spans="1:6" x14ac:dyDescent="0.35">
      <c r="A85" t="s">
        <v>253</v>
      </c>
      <c r="B85" t="s">
        <v>254</v>
      </c>
      <c r="C85" t="s">
        <v>91</v>
      </c>
      <c r="D85" s="1">
        <v>0.49</v>
      </c>
      <c r="E85">
        <v>-1</v>
      </c>
      <c r="F85" t="s">
        <v>29</v>
      </c>
    </row>
    <row r="86" spans="1:6" x14ac:dyDescent="0.35">
      <c r="A86" t="s">
        <v>137</v>
      </c>
      <c r="B86" t="s">
        <v>138</v>
      </c>
      <c r="C86" t="s">
        <v>139</v>
      </c>
      <c r="D86" s="1">
        <v>0.42</v>
      </c>
    </row>
    <row r="87" spans="1:6" x14ac:dyDescent="0.35">
      <c r="A87" t="s">
        <v>154</v>
      </c>
      <c r="B87" t="s">
        <v>255</v>
      </c>
      <c r="C87" t="s">
        <v>222</v>
      </c>
      <c r="D87" s="1">
        <v>0.49</v>
      </c>
    </row>
    <row r="88" spans="1:6" x14ac:dyDescent="0.35">
      <c r="A88" t="s">
        <v>256</v>
      </c>
      <c r="B88" t="s">
        <v>257</v>
      </c>
      <c r="C88" t="s">
        <v>162</v>
      </c>
      <c r="D88" s="1">
        <v>0.14000000000000001</v>
      </c>
    </row>
    <row r="89" spans="1:6" x14ac:dyDescent="0.35">
      <c r="A89" t="s">
        <v>258</v>
      </c>
      <c r="B89" t="s">
        <v>259</v>
      </c>
      <c r="C89" t="s">
        <v>260</v>
      </c>
      <c r="D89" s="1">
        <v>0.49</v>
      </c>
    </row>
    <row r="90" spans="1:6" x14ac:dyDescent="0.35">
      <c r="A90" t="s">
        <v>261</v>
      </c>
      <c r="B90" t="s">
        <v>43</v>
      </c>
      <c r="C90" t="s">
        <v>172</v>
      </c>
      <c r="D90" s="1">
        <v>0.11</v>
      </c>
    </row>
    <row r="91" spans="1:6" x14ac:dyDescent="0.35">
      <c r="A91" t="s">
        <v>175</v>
      </c>
      <c r="B91" t="s">
        <v>262</v>
      </c>
      <c r="C91" t="s">
        <v>263</v>
      </c>
      <c r="D91" s="1">
        <v>0.49</v>
      </c>
    </row>
    <row r="92" spans="1:6" x14ac:dyDescent="0.35">
      <c r="A92" t="s">
        <v>264</v>
      </c>
      <c r="B92" t="s">
        <v>265</v>
      </c>
      <c r="C92" t="s">
        <v>162</v>
      </c>
      <c r="D92" s="1">
        <v>0.14000000000000001</v>
      </c>
    </row>
    <row r="93" spans="1:6" x14ac:dyDescent="0.35">
      <c r="A93" t="s">
        <v>266</v>
      </c>
      <c r="B93" t="s">
        <v>267</v>
      </c>
      <c r="C93" t="s">
        <v>268</v>
      </c>
      <c r="D93" s="1">
        <v>0.43</v>
      </c>
    </row>
    <row r="94" spans="1:6" x14ac:dyDescent="0.35">
      <c r="A94" t="s">
        <v>269</v>
      </c>
      <c r="B94" t="s">
        <v>270</v>
      </c>
      <c r="C94" t="s">
        <v>271</v>
      </c>
      <c r="D94" s="1">
        <v>0.5</v>
      </c>
    </row>
    <row r="95" spans="1:6" x14ac:dyDescent="0.35">
      <c r="A95" t="s">
        <v>272</v>
      </c>
      <c r="B95" t="s">
        <v>273</v>
      </c>
      <c r="C95" t="s">
        <v>184</v>
      </c>
      <c r="D95" s="1">
        <v>0.48</v>
      </c>
    </row>
    <row r="96" spans="1:6" x14ac:dyDescent="0.35">
      <c r="A96" t="s">
        <v>274</v>
      </c>
      <c r="B96" t="s">
        <v>275</v>
      </c>
      <c r="C96" t="s">
        <v>276</v>
      </c>
      <c r="D96" s="1">
        <v>0.48</v>
      </c>
    </row>
    <row r="97" spans="1:6" x14ac:dyDescent="0.35">
      <c r="A97" t="s">
        <v>277</v>
      </c>
      <c r="B97" t="s">
        <v>226</v>
      </c>
      <c r="C97" t="s">
        <v>162</v>
      </c>
      <c r="D97" s="1">
        <v>0.47</v>
      </c>
    </row>
    <row r="98" spans="1:6" x14ac:dyDescent="0.35">
      <c r="A98" t="s">
        <v>277</v>
      </c>
      <c r="B98" t="s">
        <v>226</v>
      </c>
      <c r="C98" t="s">
        <v>162</v>
      </c>
      <c r="D98" s="1">
        <v>0.47</v>
      </c>
    </row>
    <row r="99" spans="1:6" x14ac:dyDescent="0.35">
      <c r="A99" t="s">
        <v>278</v>
      </c>
      <c r="B99" t="s">
        <v>152</v>
      </c>
      <c r="C99" t="s">
        <v>279</v>
      </c>
      <c r="D99" s="1">
        <v>0.5</v>
      </c>
    </row>
    <row r="100" spans="1:6" x14ac:dyDescent="0.35">
      <c r="A100" t="s">
        <v>280</v>
      </c>
      <c r="B100" t="s">
        <v>281</v>
      </c>
      <c r="C100" t="s">
        <v>161</v>
      </c>
      <c r="D100" s="1">
        <v>0.08</v>
      </c>
    </row>
    <row r="101" spans="1:6" x14ac:dyDescent="0.35">
      <c r="A101" t="s">
        <v>282</v>
      </c>
      <c r="B101" t="s">
        <v>283</v>
      </c>
      <c r="C101" t="s">
        <v>167</v>
      </c>
      <c r="D101" s="1">
        <v>0.02</v>
      </c>
    </row>
    <row r="102" spans="1:6" x14ac:dyDescent="0.35">
      <c r="A102" t="s">
        <v>284</v>
      </c>
      <c r="B102" t="s">
        <v>285</v>
      </c>
      <c r="C102" t="s">
        <v>286</v>
      </c>
      <c r="D102" s="1">
        <v>0.49</v>
      </c>
    </row>
    <row r="103" spans="1:6" x14ac:dyDescent="0.35">
      <c r="A103" t="s">
        <v>287</v>
      </c>
      <c r="B103" t="s">
        <v>288</v>
      </c>
      <c r="C103" t="s">
        <v>67</v>
      </c>
      <c r="D103" s="1">
        <v>0.04</v>
      </c>
    </row>
    <row r="104" spans="1:6" x14ac:dyDescent="0.35">
      <c r="A104" t="s">
        <v>289</v>
      </c>
      <c r="B104" t="s">
        <v>290</v>
      </c>
      <c r="C104" t="s">
        <v>291</v>
      </c>
      <c r="D104" s="1">
        <v>0.49</v>
      </c>
    </row>
    <row r="105" spans="1:6" x14ac:dyDescent="0.35">
      <c r="A105" t="s">
        <v>292</v>
      </c>
      <c r="B105" t="s">
        <v>293</v>
      </c>
      <c r="C105" t="s">
        <v>294</v>
      </c>
      <c r="D105" s="1">
        <v>0.42</v>
      </c>
    </row>
    <row r="106" spans="1:6" x14ac:dyDescent="0.35">
      <c r="A106" t="s">
        <v>295</v>
      </c>
      <c r="B106" t="s">
        <v>296</v>
      </c>
      <c r="C106" t="s">
        <v>297</v>
      </c>
      <c r="D106" s="1">
        <v>0.21</v>
      </c>
      <c r="E106">
        <v>-1</v>
      </c>
      <c r="F106" t="s">
        <v>59</v>
      </c>
    </row>
    <row r="107" spans="1:6" x14ac:dyDescent="0.35">
      <c r="A107" t="s">
        <v>298</v>
      </c>
      <c r="B107" t="s">
        <v>299</v>
      </c>
      <c r="C107" t="s">
        <v>300</v>
      </c>
      <c r="D107" s="1">
        <v>0.41</v>
      </c>
    </row>
    <row r="108" spans="1:6" x14ac:dyDescent="0.35">
      <c r="A108" t="s">
        <v>301</v>
      </c>
      <c r="B108" t="s">
        <v>302</v>
      </c>
      <c r="C108" t="s">
        <v>303</v>
      </c>
      <c r="D108" s="1">
        <v>0.01</v>
      </c>
    </row>
    <row r="109" spans="1:6" x14ac:dyDescent="0.35">
      <c r="A109" t="s">
        <v>304</v>
      </c>
      <c r="B109" t="s">
        <v>305</v>
      </c>
      <c r="C109" t="s">
        <v>306</v>
      </c>
      <c r="D109" s="1">
        <v>0.24</v>
      </c>
    </row>
    <row r="110" spans="1:6" x14ac:dyDescent="0.35">
      <c r="A110" t="s">
        <v>307</v>
      </c>
      <c r="B110" t="s">
        <v>308</v>
      </c>
      <c r="C110" t="s">
        <v>309</v>
      </c>
      <c r="D110" s="1">
        <v>0.34</v>
      </c>
    </row>
    <row r="111" spans="1:6" x14ac:dyDescent="0.35">
      <c r="A111" t="s">
        <v>310</v>
      </c>
      <c r="B111" t="s">
        <v>146</v>
      </c>
      <c r="C111" t="s">
        <v>311</v>
      </c>
      <c r="D111" s="1">
        <v>0.34</v>
      </c>
    </row>
    <row r="112" spans="1:6" x14ac:dyDescent="0.35">
      <c r="A112" t="s">
        <v>312</v>
      </c>
      <c r="B112" t="s">
        <v>313</v>
      </c>
      <c r="C112" t="s">
        <v>162</v>
      </c>
      <c r="D112" s="1">
        <v>0.02</v>
      </c>
    </row>
    <row r="113" spans="1:6" x14ac:dyDescent="0.35">
      <c r="A113" t="s">
        <v>314</v>
      </c>
      <c r="B113" t="s">
        <v>315</v>
      </c>
      <c r="C113" t="s">
        <v>239</v>
      </c>
      <c r="D113" s="1">
        <v>0.02</v>
      </c>
    </row>
    <row r="114" spans="1:6" x14ac:dyDescent="0.35">
      <c r="A114" t="s">
        <v>316</v>
      </c>
      <c r="B114" t="s">
        <v>155</v>
      </c>
      <c r="C114" t="s">
        <v>317</v>
      </c>
      <c r="D114" s="1">
        <v>0.64</v>
      </c>
    </row>
    <row r="115" spans="1:6" x14ac:dyDescent="0.35">
      <c r="A115" t="s">
        <v>318</v>
      </c>
      <c r="B115" t="s">
        <v>242</v>
      </c>
      <c r="C115" t="s">
        <v>172</v>
      </c>
      <c r="D115" s="1">
        <v>0.5</v>
      </c>
      <c r="E115">
        <v>-1</v>
      </c>
      <c r="F115" t="s">
        <v>319</v>
      </c>
    </row>
    <row r="116" spans="1:6" x14ac:dyDescent="0.35">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8A60-ED68-4CB9-AF80-9669E2BCB3ED}">
  <dimension ref="A1:J115"/>
  <sheetViews>
    <sheetView workbookViewId="0">
      <selection sqref="A1:J114"/>
    </sheetView>
  </sheetViews>
  <sheetFormatPr defaultRowHeight="14.5" x14ac:dyDescent="0.35"/>
  <cols>
    <col min="1" max="1" width="74.36328125" customWidth="1"/>
    <col min="2" max="2" width="18.453125" style="3" bestFit="1" customWidth="1"/>
    <col min="3" max="3" width="12.36328125" style="3" customWidth="1"/>
    <col min="4" max="4" width="18" style="3" customWidth="1"/>
    <col min="5" max="5" width="12.1796875" style="1" customWidth="1"/>
    <col min="6" max="6" width="21.90625" style="1" customWidth="1"/>
    <col min="7" max="7" width="10.54296875" customWidth="1"/>
    <col min="8" max="8" width="11" style="4" customWidth="1"/>
    <col min="9" max="9" width="19.6328125" customWidth="1"/>
    <col min="10" max="10" width="18.08984375" customWidth="1"/>
  </cols>
  <sheetData>
    <row r="1" spans="1:10" s="5" customFormat="1" ht="18.5" x14ac:dyDescent="0.45">
      <c r="A1" s="5" t="s">
        <v>0</v>
      </c>
      <c r="B1" s="7" t="s">
        <v>1</v>
      </c>
      <c r="C1" s="7" t="s">
        <v>326</v>
      </c>
      <c r="D1" s="7" t="s">
        <v>331</v>
      </c>
      <c r="E1" s="8" t="s">
        <v>3</v>
      </c>
      <c r="F1" s="8" t="s">
        <v>323</v>
      </c>
      <c r="G1" s="6" t="s">
        <v>4</v>
      </c>
      <c r="H1" s="9" t="s">
        <v>5</v>
      </c>
      <c r="I1" s="6" t="s">
        <v>324</v>
      </c>
      <c r="J1" s="20" t="s">
        <v>325</v>
      </c>
    </row>
    <row r="2" spans="1:10" x14ac:dyDescent="0.35">
      <c r="A2" t="s">
        <v>6</v>
      </c>
      <c r="B2" s="11">
        <v>950</v>
      </c>
      <c r="C2" s="11">
        <v>1525</v>
      </c>
      <c r="D2" s="11">
        <f>C2-B2</f>
        <v>575</v>
      </c>
      <c r="E2" s="12">
        <v>0.38</v>
      </c>
      <c r="F2" s="12" t="str">
        <f>IF(E2&lt;20%,"LOW DISCOUNT",IF(E2&lt;40%,"MEDIUM DISCOUNT","HIGH DISCOUNT"))</f>
        <v>MEDIUM DISCOUNT</v>
      </c>
      <c r="G2" s="10">
        <v>2</v>
      </c>
      <c r="H2" s="13">
        <v>4.5</v>
      </c>
      <c r="I2" s="10" t="str">
        <f>IF(ISBLANK(H2),"NOT PROVIDED",IF(H2&lt;3,"POOR",IF(H2&lt;4.5,"AVERAGE","EXCELLENT")))</f>
        <v>EXCELLENT</v>
      </c>
      <c r="J2" s="21" t="str">
        <f>IF(B2&lt;1000,"LOW PRICE",IF(B2&lt;2000,"MEDIUM PRICE","HIGH PRICE"))</f>
        <v>LOW PRICE</v>
      </c>
    </row>
    <row r="3" spans="1:10" x14ac:dyDescent="0.35">
      <c r="A3" t="s">
        <v>10</v>
      </c>
      <c r="B3" s="11">
        <v>527</v>
      </c>
      <c r="C3" s="11">
        <v>999</v>
      </c>
      <c r="D3" s="11">
        <f t="shared" ref="D3:D67" si="0">C3-B3</f>
        <v>472</v>
      </c>
      <c r="E3" s="12">
        <v>0.47</v>
      </c>
      <c r="F3" s="12" t="str">
        <f t="shared" ref="F3:F67" si="1">IF(E3&lt;20%,"LOW DISCOUNT",IF(E3&lt;40%,"MEDIUM DISCOUNT","HIGH DISCOUNT"))</f>
        <v>HIGH DISCOUNT</v>
      </c>
      <c r="G3" s="10">
        <v>14</v>
      </c>
      <c r="H3" s="13">
        <v>4.0999999999999996</v>
      </c>
      <c r="I3" s="10" t="str">
        <f t="shared" ref="I3:I67" si="2">IF(ISBLANK(H3),"NOT PROVIDED",IF(H3&lt;3,"POOR",IF(H3&lt;4.5,"AVERAGE","EXCELLENT")))</f>
        <v>AVERAGE</v>
      </c>
      <c r="J3" s="21" t="str">
        <f t="shared" ref="J3:J67" si="3">IF(B3&lt;1000,"LOW PRICE",IF(B3&lt;2000,"MEDIUM PRICE","HIGH PRICE"))</f>
        <v>LOW PRICE</v>
      </c>
    </row>
    <row r="4" spans="1:10" x14ac:dyDescent="0.35">
      <c r="A4" t="s">
        <v>14</v>
      </c>
      <c r="B4" s="11">
        <v>2199</v>
      </c>
      <c r="C4" s="11">
        <v>2923</v>
      </c>
      <c r="D4" s="11">
        <f t="shared" si="0"/>
        <v>724</v>
      </c>
      <c r="E4" s="12">
        <v>0.25</v>
      </c>
      <c r="F4" s="12" t="str">
        <f t="shared" si="1"/>
        <v>MEDIUM DISCOUNT</v>
      </c>
      <c r="G4" s="10">
        <v>24</v>
      </c>
      <c r="H4" s="13">
        <v>4.5999999999999996</v>
      </c>
      <c r="I4" s="10" t="str">
        <f t="shared" si="2"/>
        <v>EXCELLENT</v>
      </c>
      <c r="J4" s="21" t="str">
        <f t="shared" si="3"/>
        <v>HIGH PRICE</v>
      </c>
    </row>
    <row r="5" spans="1:10" x14ac:dyDescent="0.35">
      <c r="A5" t="s">
        <v>18</v>
      </c>
      <c r="B5" s="11">
        <v>1580</v>
      </c>
      <c r="C5" s="11">
        <v>2499</v>
      </c>
      <c r="D5" s="11">
        <f t="shared" si="0"/>
        <v>919</v>
      </c>
      <c r="E5" s="12">
        <v>0.37</v>
      </c>
      <c r="F5" s="12" t="str">
        <f t="shared" si="1"/>
        <v>MEDIUM DISCOUNT</v>
      </c>
      <c r="G5" s="10">
        <v>7</v>
      </c>
      <c r="H5" s="13">
        <v>4.7</v>
      </c>
      <c r="I5" s="10" t="str">
        <f t="shared" si="2"/>
        <v>EXCELLENT</v>
      </c>
      <c r="J5" s="21" t="str">
        <f t="shared" si="3"/>
        <v>MEDIUM PRICE</v>
      </c>
    </row>
    <row r="6" spans="1:10" x14ac:dyDescent="0.35">
      <c r="A6" t="s">
        <v>22</v>
      </c>
      <c r="B6" s="11">
        <v>1740</v>
      </c>
      <c r="C6" s="11">
        <v>2356</v>
      </c>
      <c r="D6" s="11">
        <f t="shared" si="0"/>
        <v>616</v>
      </c>
      <c r="E6" s="12">
        <v>0.26</v>
      </c>
      <c r="F6" s="12" t="str">
        <f t="shared" si="1"/>
        <v>MEDIUM DISCOUNT</v>
      </c>
      <c r="G6" s="10">
        <v>5</v>
      </c>
      <c r="H6" s="13">
        <v>4.8</v>
      </c>
      <c r="I6" s="10" t="str">
        <f t="shared" si="2"/>
        <v>EXCELLENT</v>
      </c>
      <c r="J6" s="21" t="str">
        <f t="shared" si="3"/>
        <v>MEDIUM PRICE</v>
      </c>
    </row>
    <row r="7" spans="1:10" x14ac:dyDescent="0.35">
      <c r="A7" t="s">
        <v>26</v>
      </c>
      <c r="B7" s="11">
        <v>2999</v>
      </c>
      <c r="C7" s="11">
        <v>3290</v>
      </c>
      <c r="D7" s="11">
        <f t="shared" si="0"/>
        <v>291</v>
      </c>
      <c r="E7" s="12">
        <v>0.09</v>
      </c>
      <c r="F7" s="12" t="str">
        <f t="shared" si="1"/>
        <v>LOW DISCOUNT</v>
      </c>
      <c r="G7" s="10">
        <v>15</v>
      </c>
      <c r="H7" s="13">
        <v>4</v>
      </c>
      <c r="I7" s="10" t="str">
        <f t="shared" si="2"/>
        <v>AVERAGE</v>
      </c>
      <c r="J7" s="21" t="str">
        <f t="shared" si="3"/>
        <v>HIGH PRICE</v>
      </c>
    </row>
    <row r="8" spans="1:10" x14ac:dyDescent="0.35">
      <c r="A8" t="s">
        <v>30</v>
      </c>
      <c r="B8" s="11">
        <v>2319</v>
      </c>
      <c r="C8" s="11">
        <v>3032</v>
      </c>
      <c r="D8" s="11">
        <f t="shared" si="0"/>
        <v>713</v>
      </c>
      <c r="E8" s="12">
        <v>0.24</v>
      </c>
      <c r="F8" s="12" t="str">
        <f t="shared" si="1"/>
        <v>MEDIUM DISCOUNT</v>
      </c>
      <c r="G8" s="10">
        <v>55</v>
      </c>
      <c r="H8" s="13">
        <v>4.5999999999999996</v>
      </c>
      <c r="I8" s="10" t="str">
        <f t="shared" si="2"/>
        <v>EXCELLENT</v>
      </c>
      <c r="J8" s="21" t="str">
        <f t="shared" si="3"/>
        <v>HIGH PRICE</v>
      </c>
    </row>
    <row r="9" spans="1:10" x14ac:dyDescent="0.35">
      <c r="A9" t="s">
        <v>33</v>
      </c>
      <c r="B9" s="11">
        <v>988</v>
      </c>
      <c r="C9" s="11">
        <v>1580</v>
      </c>
      <c r="D9" s="11">
        <f t="shared" si="0"/>
        <v>592</v>
      </c>
      <c r="E9" s="12">
        <v>0.37</v>
      </c>
      <c r="F9" s="12" t="str">
        <f t="shared" si="1"/>
        <v>MEDIUM DISCOUNT</v>
      </c>
      <c r="G9" s="10">
        <v>2</v>
      </c>
      <c r="H9" s="13">
        <v>4</v>
      </c>
      <c r="I9" s="10" t="str">
        <f t="shared" si="2"/>
        <v>AVERAGE</v>
      </c>
      <c r="J9" s="21" t="str">
        <f t="shared" si="3"/>
        <v>LOW PRICE</v>
      </c>
    </row>
    <row r="10" spans="1:10" x14ac:dyDescent="0.35">
      <c r="A10" t="s">
        <v>35</v>
      </c>
      <c r="B10" s="11">
        <v>1274</v>
      </c>
      <c r="C10" s="11">
        <v>2800</v>
      </c>
      <c r="D10" s="11">
        <f t="shared" si="0"/>
        <v>1526</v>
      </c>
      <c r="E10" s="12">
        <v>0.55000000000000004</v>
      </c>
      <c r="F10" s="12" t="str">
        <f t="shared" si="1"/>
        <v>HIGH DISCOUNT</v>
      </c>
      <c r="G10" s="10">
        <v>5</v>
      </c>
      <c r="H10" s="13">
        <v>4.8</v>
      </c>
      <c r="I10" s="10" t="str">
        <f t="shared" si="2"/>
        <v>EXCELLENT</v>
      </c>
      <c r="J10" s="21" t="str">
        <f t="shared" si="3"/>
        <v>MEDIUM PRICE</v>
      </c>
    </row>
    <row r="11" spans="1:10" x14ac:dyDescent="0.35">
      <c r="A11" t="s">
        <v>38</v>
      </c>
      <c r="B11" s="11">
        <v>1600</v>
      </c>
      <c r="C11" s="11">
        <v>2929</v>
      </c>
      <c r="D11" s="11">
        <f t="shared" si="0"/>
        <v>1329</v>
      </c>
      <c r="E11" s="12">
        <v>0.45</v>
      </c>
      <c r="F11" s="12" t="str">
        <f t="shared" si="1"/>
        <v>HIGH DISCOUNT</v>
      </c>
      <c r="G11" s="10">
        <v>5</v>
      </c>
      <c r="H11" s="13">
        <v>3.8</v>
      </c>
      <c r="I11" s="10" t="str">
        <f t="shared" si="2"/>
        <v>AVERAGE</v>
      </c>
      <c r="J11" s="21" t="str">
        <f t="shared" si="3"/>
        <v>MEDIUM PRICE</v>
      </c>
    </row>
    <row r="12" spans="1:10" x14ac:dyDescent="0.35">
      <c r="A12" t="s">
        <v>42</v>
      </c>
      <c r="B12" s="11">
        <v>799</v>
      </c>
      <c r="C12" s="11">
        <v>999</v>
      </c>
      <c r="D12" s="11">
        <f t="shared" si="0"/>
        <v>200</v>
      </c>
      <c r="E12" s="12">
        <v>0.2</v>
      </c>
      <c r="F12" s="12" t="str">
        <f t="shared" si="1"/>
        <v>MEDIUM DISCOUNT</v>
      </c>
      <c r="G12" s="10">
        <v>12</v>
      </c>
      <c r="H12" s="13">
        <v>4.0999999999999996</v>
      </c>
      <c r="I12" s="10" t="str">
        <f t="shared" si="2"/>
        <v>AVERAGE</v>
      </c>
      <c r="J12" s="21" t="str">
        <f t="shared" si="3"/>
        <v>LOW PRICE</v>
      </c>
    </row>
    <row r="13" spans="1:10" x14ac:dyDescent="0.35">
      <c r="A13" t="s">
        <v>44</v>
      </c>
      <c r="B13" s="11">
        <v>990</v>
      </c>
      <c r="C13" s="11">
        <v>1500</v>
      </c>
      <c r="D13" s="11">
        <f t="shared" si="0"/>
        <v>510</v>
      </c>
      <c r="E13" s="12">
        <v>0.34</v>
      </c>
      <c r="F13" s="12" t="str">
        <f t="shared" si="1"/>
        <v>MEDIUM DISCOUNT</v>
      </c>
      <c r="G13" s="10">
        <v>39</v>
      </c>
      <c r="H13" s="13">
        <v>4.7</v>
      </c>
      <c r="I13" s="10" t="str">
        <f t="shared" si="2"/>
        <v>EXCELLENT</v>
      </c>
      <c r="J13" s="21" t="str">
        <f t="shared" si="3"/>
        <v>LOW PRICE</v>
      </c>
    </row>
    <row r="14" spans="1:10" x14ac:dyDescent="0.35">
      <c r="A14" t="s">
        <v>47</v>
      </c>
      <c r="B14" s="11">
        <v>552</v>
      </c>
      <c r="C14" s="11">
        <v>1035</v>
      </c>
      <c r="D14" s="11">
        <f t="shared" si="0"/>
        <v>483</v>
      </c>
      <c r="E14" s="12">
        <v>0.47</v>
      </c>
      <c r="F14" s="12" t="str">
        <f t="shared" si="1"/>
        <v>HIGH DISCOUNT</v>
      </c>
      <c r="G14" s="10">
        <v>12</v>
      </c>
      <c r="H14" s="13">
        <v>4.8</v>
      </c>
      <c r="I14" s="10" t="str">
        <f t="shared" si="2"/>
        <v>EXCELLENT</v>
      </c>
      <c r="J14" s="21" t="str">
        <f t="shared" si="3"/>
        <v>LOW PRICE</v>
      </c>
    </row>
    <row r="15" spans="1:10" x14ac:dyDescent="0.35">
      <c r="A15" t="s">
        <v>50</v>
      </c>
      <c r="B15" s="11">
        <v>501</v>
      </c>
      <c r="C15" s="11">
        <v>860</v>
      </c>
      <c r="D15" s="11">
        <f t="shared" si="0"/>
        <v>359</v>
      </c>
      <c r="E15" s="12">
        <v>0.42</v>
      </c>
      <c r="F15" s="12" t="str">
        <f t="shared" si="1"/>
        <v>HIGH DISCOUNT</v>
      </c>
      <c r="G15" s="10">
        <v>6</v>
      </c>
      <c r="H15" s="13">
        <v>4.5</v>
      </c>
      <c r="I15" s="10" t="str">
        <f t="shared" si="2"/>
        <v>EXCELLENT</v>
      </c>
      <c r="J15" s="21" t="str">
        <f t="shared" si="3"/>
        <v>LOW PRICE</v>
      </c>
    </row>
    <row r="16" spans="1:10" x14ac:dyDescent="0.35">
      <c r="A16" t="s">
        <v>53</v>
      </c>
      <c r="B16" s="11">
        <v>1680</v>
      </c>
      <c r="C16" s="11">
        <v>2499</v>
      </c>
      <c r="D16" s="11">
        <f t="shared" si="0"/>
        <v>819</v>
      </c>
      <c r="E16" s="12">
        <v>0.33</v>
      </c>
      <c r="F16" s="12" t="str">
        <f t="shared" si="1"/>
        <v>MEDIUM DISCOUNT</v>
      </c>
      <c r="G16" s="10">
        <v>9</v>
      </c>
      <c r="H16" s="13">
        <v>4.2</v>
      </c>
      <c r="I16" s="10" t="str">
        <f t="shared" si="2"/>
        <v>AVERAGE</v>
      </c>
      <c r="J16" s="21" t="str">
        <f t="shared" si="3"/>
        <v>MEDIUM PRICE</v>
      </c>
    </row>
    <row r="17" spans="1:10" x14ac:dyDescent="0.35">
      <c r="A17" t="s">
        <v>56</v>
      </c>
      <c r="B17" s="11">
        <v>332</v>
      </c>
      <c r="C17" s="11">
        <v>684</v>
      </c>
      <c r="D17" s="11">
        <f t="shared" si="0"/>
        <v>352</v>
      </c>
      <c r="E17" s="12">
        <v>0.51</v>
      </c>
      <c r="F17" s="12" t="str">
        <f t="shared" si="1"/>
        <v>HIGH DISCOUNT</v>
      </c>
      <c r="G17" s="10">
        <v>2</v>
      </c>
      <c r="H17" s="13">
        <v>5</v>
      </c>
      <c r="I17" s="10" t="str">
        <f t="shared" si="2"/>
        <v>EXCELLENT</v>
      </c>
      <c r="J17" s="21" t="str">
        <f t="shared" si="3"/>
        <v>LOW PRICE</v>
      </c>
    </row>
    <row r="18" spans="1:10" x14ac:dyDescent="0.35">
      <c r="A18" t="s">
        <v>60</v>
      </c>
      <c r="B18" s="11">
        <v>195</v>
      </c>
      <c r="C18" s="11">
        <v>360</v>
      </c>
      <c r="D18" s="11">
        <f t="shared" si="0"/>
        <v>165</v>
      </c>
      <c r="E18" s="12">
        <v>0.46</v>
      </c>
      <c r="F18" s="12" t="str">
        <f t="shared" si="1"/>
        <v>HIGH DISCOUNT</v>
      </c>
      <c r="G18" s="10">
        <v>2</v>
      </c>
      <c r="H18" s="13">
        <v>5</v>
      </c>
      <c r="I18" s="10" t="str">
        <f t="shared" si="2"/>
        <v>EXCELLENT</v>
      </c>
      <c r="J18" s="21" t="str">
        <f t="shared" si="3"/>
        <v>LOW PRICE</v>
      </c>
    </row>
    <row r="19" spans="1:10" x14ac:dyDescent="0.35">
      <c r="A19" t="s">
        <v>63</v>
      </c>
      <c r="B19" s="11">
        <v>2025</v>
      </c>
      <c r="C19" s="11">
        <v>3971</v>
      </c>
      <c r="D19" s="11">
        <f t="shared" si="0"/>
        <v>1946</v>
      </c>
      <c r="E19" s="12">
        <v>0.49</v>
      </c>
      <c r="F19" s="12" t="str">
        <f t="shared" si="1"/>
        <v>HIGH DISCOUNT</v>
      </c>
      <c r="G19" s="10">
        <v>3</v>
      </c>
      <c r="H19" s="13">
        <v>5</v>
      </c>
      <c r="I19" s="10" t="str">
        <f t="shared" si="2"/>
        <v>EXCELLENT</v>
      </c>
      <c r="J19" s="21" t="str">
        <f t="shared" si="3"/>
        <v>HIGH PRICE</v>
      </c>
    </row>
    <row r="20" spans="1:10" x14ac:dyDescent="0.35">
      <c r="A20" t="s">
        <v>66</v>
      </c>
      <c r="B20" s="11">
        <v>2999</v>
      </c>
      <c r="C20" s="11">
        <v>3699</v>
      </c>
      <c r="D20" s="11">
        <f t="shared" si="0"/>
        <v>700</v>
      </c>
      <c r="E20" s="12">
        <v>0.19</v>
      </c>
      <c r="F20" s="12" t="str">
        <f t="shared" si="1"/>
        <v>LOW DISCOUNT</v>
      </c>
      <c r="G20" s="10">
        <v>5</v>
      </c>
      <c r="H20" s="13">
        <v>4.5999999999999996</v>
      </c>
      <c r="I20" s="10" t="str">
        <f t="shared" si="2"/>
        <v>EXCELLENT</v>
      </c>
      <c r="J20" s="21" t="str">
        <f t="shared" si="3"/>
        <v>HIGH PRICE</v>
      </c>
    </row>
    <row r="21" spans="1:10" x14ac:dyDescent="0.35">
      <c r="A21" t="s">
        <v>68</v>
      </c>
      <c r="B21" s="11">
        <v>998</v>
      </c>
      <c r="C21" s="11">
        <v>1966</v>
      </c>
      <c r="D21" s="11">
        <f t="shared" si="0"/>
        <v>968</v>
      </c>
      <c r="E21" s="12">
        <v>0.49</v>
      </c>
      <c r="F21" s="12" t="str">
        <f t="shared" si="1"/>
        <v>HIGH DISCOUNT</v>
      </c>
      <c r="G21" s="10">
        <v>44</v>
      </c>
      <c r="H21" s="13">
        <v>4.5999999999999996</v>
      </c>
      <c r="I21" s="10" t="str">
        <f t="shared" si="2"/>
        <v>EXCELLENT</v>
      </c>
      <c r="J21" s="21" t="str">
        <f t="shared" si="3"/>
        <v>LOW PRICE</v>
      </c>
    </row>
    <row r="22" spans="1:10" x14ac:dyDescent="0.35">
      <c r="A22" t="s">
        <v>71</v>
      </c>
      <c r="B22" s="11">
        <v>38</v>
      </c>
      <c r="C22" s="11">
        <v>80</v>
      </c>
      <c r="D22" s="11">
        <f t="shared" si="0"/>
        <v>42</v>
      </c>
      <c r="E22" s="12">
        <v>0.53</v>
      </c>
      <c r="F22" s="12" t="str">
        <f t="shared" si="1"/>
        <v>HIGH DISCOUNT</v>
      </c>
      <c r="G22" s="10">
        <v>13</v>
      </c>
      <c r="H22" s="13">
        <v>3.3</v>
      </c>
      <c r="I22" s="10" t="str">
        <f t="shared" si="2"/>
        <v>AVERAGE</v>
      </c>
      <c r="J22" s="21" t="str">
        <f t="shared" si="3"/>
        <v>LOW PRICE</v>
      </c>
    </row>
    <row r="23" spans="1:10" x14ac:dyDescent="0.35">
      <c r="A23" t="s">
        <v>75</v>
      </c>
      <c r="B23" s="11">
        <v>1860</v>
      </c>
      <c r="C23" s="11">
        <v>3220</v>
      </c>
      <c r="D23" s="11">
        <f t="shared" si="0"/>
        <v>1360</v>
      </c>
      <c r="E23" s="12">
        <v>0.42</v>
      </c>
      <c r="F23" s="12" t="str">
        <f t="shared" si="1"/>
        <v>HIGH DISCOUNT</v>
      </c>
      <c r="G23" s="10"/>
      <c r="H23" s="13"/>
      <c r="I23" s="10" t="str">
        <f t="shared" si="2"/>
        <v>NOT PROVIDED</v>
      </c>
      <c r="J23" s="21" t="str">
        <f t="shared" si="3"/>
        <v>MEDIUM PRICE</v>
      </c>
    </row>
    <row r="24" spans="1:10" x14ac:dyDescent="0.35">
      <c r="A24" t="s">
        <v>78</v>
      </c>
      <c r="B24" s="11">
        <v>880</v>
      </c>
      <c r="C24" s="11">
        <v>1350</v>
      </c>
      <c r="D24" s="11">
        <f t="shared" si="0"/>
        <v>470</v>
      </c>
      <c r="E24" s="12">
        <v>0.35</v>
      </c>
      <c r="F24" s="12" t="str">
        <f t="shared" si="1"/>
        <v>MEDIUM DISCOUNT</v>
      </c>
      <c r="G24" s="10">
        <v>6</v>
      </c>
      <c r="H24" s="13">
        <v>4</v>
      </c>
      <c r="I24" s="10" t="str">
        <f t="shared" si="2"/>
        <v>AVERAGE</v>
      </c>
      <c r="J24" s="21" t="str">
        <f t="shared" si="3"/>
        <v>LOW PRICE</v>
      </c>
    </row>
    <row r="25" spans="1:10" x14ac:dyDescent="0.35">
      <c r="A25" t="s">
        <v>81</v>
      </c>
      <c r="B25" s="11">
        <v>1650</v>
      </c>
      <c r="C25" s="11">
        <v>2150</v>
      </c>
      <c r="D25" s="11">
        <f t="shared" si="0"/>
        <v>500</v>
      </c>
      <c r="E25" s="12">
        <v>0.23</v>
      </c>
      <c r="F25" s="12" t="str">
        <f t="shared" si="1"/>
        <v>MEDIUM DISCOUNT</v>
      </c>
      <c r="G25" s="10">
        <v>14</v>
      </c>
      <c r="H25" s="13">
        <v>4.4000000000000004</v>
      </c>
      <c r="I25" s="10" t="str">
        <f t="shared" si="2"/>
        <v>AVERAGE</v>
      </c>
      <c r="J25" s="21" t="str">
        <f t="shared" si="3"/>
        <v>MEDIUM PRICE</v>
      </c>
    </row>
    <row r="26" spans="1:10" x14ac:dyDescent="0.35">
      <c r="A26" t="s">
        <v>85</v>
      </c>
      <c r="B26" s="11">
        <v>2048</v>
      </c>
      <c r="C26" s="11">
        <v>4500</v>
      </c>
      <c r="D26" s="11">
        <f t="shared" si="0"/>
        <v>2452</v>
      </c>
      <c r="E26" s="12">
        <v>0.54</v>
      </c>
      <c r="F26" s="12" t="str">
        <f t="shared" si="1"/>
        <v>HIGH DISCOUNT</v>
      </c>
      <c r="G26" s="10">
        <v>7</v>
      </c>
      <c r="H26" s="13">
        <v>4.3</v>
      </c>
      <c r="I26" s="10" t="str">
        <f t="shared" si="2"/>
        <v>AVERAGE</v>
      </c>
      <c r="J26" s="21" t="str">
        <f t="shared" si="3"/>
        <v>HIGH PRICE</v>
      </c>
    </row>
    <row r="27" spans="1:10" x14ac:dyDescent="0.35">
      <c r="A27" t="s">
        <v>89</v>
      </c>
      <c r="B27" s="11">
        <v>420</v>
      </c>
      <c r="C27" s="11">
        <v>647</v>
      </c>
      <c r="D27" s="11">
        <f t="shared" si="0"/>
        <v>227</v>
      </c>
      <c r="E27" s="12">
        <v>0.35</v>
      </c>
      <c r="F27" s="12" t="str">
        <f t="shared" si="1"/>
        <v>MEDIUM DISCOUNT</v>
      </c>
      <c r="G27" s="10">
        <v>49</v>
      </c>
      <c r="H27" s="13">
        <v>4.5999999999999996</v>
      </c>
      <c r="I27" s="10" t="str">
        <f t="shared" si="2"/>
        <v>EXCELLENT</v>
      </c>
      <c r="J27" s="21" t="str">
        <f t="shared" si="3"/>
        <v>LOW PRICE</v>
      </c>
    </row>
    <row r="28" spans="1:10" x14ac:dyDescent="0.35">
      <c r="A28" t="s">
        <v>92</v>
      </c>
      <c r="B28" s="11">
        <v>2880</v>
      </c>
      <c r="C28" s="11">
        <v>3520</v>
      </c>
      <c r="D28" s="11">
        <f t="shared" si="0"/>
        <v>640</v>
      </c>
      <c r="E28" s="12">
        <v>0.18</v>
      </c>
      <c r="F28" s="12" t="str">
        <f t="shared" si="1"/>
        <v>LOW DISCOUNT</v>
      </c>
      <c r="G28" s="10">
        <v>12</v>
      </c>
      <c r="H28" s="13">
        <v>3.8</v>
      </c>
      <c r="I28" s="10" t="str">
        <f t="shared" si="2"/>
        <v>AVERAGE</v>
      </c>
      <c r="J28" s="21" t="str">
        <f t="shared" si="3"/>
        <v>HIGH PRICE</v>
      </c>
    </row>
    <row r="29" spans="1:10" x14ac:dyDescent="0.35">
      <c r="A29" t="s">
        <v>95</v>
      </c>
      <c r="B29" s="11">
        <v>1350</v>
      </c>
      <c r="C29" s="11">
        <v>1990</v>
      </c>
      <c r="D29" s="11">
        <f t="shared" si="0"/>
        <v>640</v>
      </c>
      <c r="E29" s="12">
        <v>0.32</v>
      </c>
      <c r="F29" s="12" t="str">
        <f t="shared" si="1"/>
        <v>MEDIUM DISCOUNT</v>
      </c>
      <c r="G29" s="10">
        <v>13</v>
      </c>
      <c r="H29" s="13">
        <v>3.8</v>
      </c>
      <c r="I29" s="10" t="str">
        <f t="shared" si="2"/>
        <v>AVERAGE</v>
      </c>
      <c r="J29" s="21" t="str">
        <f t="shared" si="3"/>
        <v>MEDIUM PRICE</v>
      </c>
    </row>
    <row r="30" spans="1:10" x14ac:dyDescent="0.35">
      <c r="A30" t="s">
        <v>97</v>
      </c>
      <c r="B30" s="11">
        <v>1758</v>
      </c>
      <c r="C30" s="11">
        <v>2499</v>
      </c>
      <c r="D30" s="11">
        <f t="shared" si="0"/>
        <v>741</v>
      </c>
      <c r="E30" s="12">
        <v>0.3</v>
      </c>
      <c r="F30" s="12" t="str">
        <f t="shared" si="1"/>
        <v>MEDIUM DISCOUNT</v>
      </c>
      <c r="G30" s="10">
        <v>20</v>
      </c>
      <c r="H30" s="13">
        <v>4.0999999999999996</v>
      </c>
      <c r="I30" s="10" t="str">
        <f t="shared" si="2"/>
        <v>AVERAGE</v>
      </c>
      <c r="J30" s="21" t="str">
        <f t="shared" si="3"/>
        <v>MEDIUM PRICE</v>
      </c>
    </row>
    <row r="31" spans="1:10" x14ac:dyDescent="0.35">
      <c r="A31" t="s">
        <v>99</v>
      </c>
      <c r="B31" s="11">
        <v>2200</v>
      </c>
      <c r="C31" s="11">
        <v>4080</v>
      </c>
      <c r="D31" s="11">
        <f t="shared" si="0"/>
        <v>1880</v>
      </c>
      <c r="E31" s="12">
        <v>0.46</v>
      </c>
      <c r="F31" s="12" t="str">
        <f t="shared" si="1"/>
        <v>HIGH DISCOUNT</v>
      </c>
      <c r="G31" s="10"/>
      <c r="H31" s="13"/>
      <c r="I31" s="10" t="str">
        <f t="shared" si="2"/>
        <v>NOT PROVIDED</v>
      </c>
      <c r="J31" s="21" t="str">
        <f t="shared" si="3"/>
        <v>HIGH PRICE</v>
      </c>
    </row>
    <row r="32" spans="1:10" x14ac:dyDescent="0.35">
      <c r="A32" t="s">
        <v>102</v>
      </c>
      <c r="B32" s="11">
        <v>185</v>
      </c>
      <c r="C32" s="11">
        <v>382</v>
      </c>
      <c r="D32" s="11">
        <f t="shared" si="0"/>
        <v>197</v>
      </c>
      <c r="E32" s="12">
        <v>0.52</v>
      </c>
      <c r="F32" s="12" t="str">
        <f t="shared" si="1"/>
        <v>HIGH DISCOUNT</v>
      </c>
      <c r="G32" s="10">
        <v>9</v>
      </c>
      <c r="H32" s="13">
        <v>4.3</v>
      </c>
      <c r="I32" s="10" t="str">
        <f t="shared" si="2"/>
        <v>AVERAGE</v>
      </c>
      <c r="J32" s="21" t="str">
        <f t="shared" si="3"/>
        <v>LOW PRICE</v>
      </c>
    </row>
    <row r="33" spans="1:10" x14ac:dyDescent="0.35">
      <c r="A33" t="s">
        <v>105</v>
      </c>
      <c r="B33" s="11">
        <v>980</v>
      </c>
      <c r="C33" s="11">
        <v>1490</v>
      </c>
      <c r="D33" s="11">
        <f t="shared" si="0"/>
        <v>510</v>
      </c>
      <c r="E33" s="12">
        <v>0.34</v>
      </c>
      <c r="F33" s="12" t="str">
        <f t="shared" si="1"/>
        <v>MEDIUM DISCOUNT</v>
      </c>
      <c r="G33" s="10">
        <v>12</v>
      </c>
      <c r="H33" s="13">
        <v>4.7</v>
      </c>
      <c r="I33" s="10" t="str">
        <f t="shared" si="2"/>
        <v>EXCELLENT</v>
      </c>
      <c r="J33" s="21" t="str">
        <f t="shared" si="3"/>
        <v>LOW PRICE</v>
      </c>
    </row>
    <row r="34" spans="1:10" x14ac:dyDescent="0.35">
      <c r="A34" t="s">
        <v>108</v>
      </c>
      <c r="B34" s="11">
        <v>1820</v>
      </c>
      <c r="C34" s="11">
        <v>3490</v>
      </c>
      <c r="D34" s="11">
        <f t="shared" si="0"/>
        <v>1670</v>
      </c>
      <c r="E34" s="12">
        <v>0.48</v>
      </c>
      <c r="F34" s="12" t="str">
        <f t="shared" si="1"/>
        <v>HIGH DISCOUNT</v>
      </c>
      <c r="G34" s="10">
        <v>9</v>
      </c>
      <c r="H34" s="13">
        <v>4.3</v>
      </c>
      <c r="I34" s="10" t="str">
        <f t="shared" si="2"/>
        <v>AVERAGE</v>
      </c>
      <c r="J34" s="21" t="str">
        <f t="shared" si="3"/>
        <v>MEDIUM PRICE</v>
      </c>
    </row>
    <row r="35" spans="1:10" x14ac:dyDescent="0.35">
      <c r="A35" t="s">
        <v>111</v>
      </c>
      <c r="B35" s="11">
        <v>1940</v>
      </c>
      <c r="C35" s="11">
        <v>2650</v>
      </c>
      <c r="D35" s="11">
        <f t="shared" si="0"/>
        <v>710</v>
      </c>
      <c r="E35" s="12">
        <v>0.27</v>
      </c>
      <c r="F35" s="12" t="str">
        <f t="shared" si="1"/>
        <v>MEDIUM DISCOUNT</v>
      </c>
      <c r="G35" s="10">
        <v>20</v>
      </c>
      <c r="H35" s="13">
        <v>4.7</v>
      </c>
      <c r="I35" s="10" t="str">
        <f t="shared" si="2"/>
        <v>EXCELLENT</v>
      </c>
      <c r="J35" s="21" t="str">
        <f t="shared" si="3"/>
        <v>MEDIUM PRICE</v>
      </c>
    </row>
    <row r="36" spans="1:10" x14ac:dyDescent="0.35">
      <c r="A36" t="s">
        <v>114</v>
      </c>
      <c r="B36" s="11">
        <v>1980</v>
      </c>
      <c r="C36" s="11">
        <v>2699</v>
      </c>
      <c r="D36" s="11">
        <f t="shared" si="0"/>
        <v>719</v>
      </c>
      <c r="E36" s="12">
        <v>0.27</v>
      </c>
      <c r="F36" s="12" t="str">
        <f t="shared" si="1"/>
        <v>MEDIUM DISCOUNT</v>
      </c>
      <c r="G36" s="10">
        <v>32</v>
      </c>
      <c r="H36" s="13">
        <v>4.5</v>
      </c>
      <c r="I36" s="10" t="str">
        <f t="shared" si="2"/>
        <v>EXCELLENT</v>
      </c>
      <c r="J36" s="21" t="str">
        <f t="shared" si="3"/>
        <v>MEDIUM PRICE</v>
      </c>
    </row>
    <row r="37" spans="1:10" x14ac:dyDescent="0.35">
      <c r="A37" t="s">
        <v>117</v>
      </c>
      <c r="B37" s="11">
        <v>1620</v>
      </c>
      <c r="C37" s="11">
        <v>2690</v>
      </c>
      <c r="D37" s="11">
        <f t="shared" si="0"/>
        <v>1070</v>
      </c>
      <c r="E37" s="12">
        <v>0.4</v>
      </c>
      <c r="F37" s="12" t="str">
        <f t="shared" si="1"/>
        <v>HIGH DISCOUNT</v>
      </c>
      <c r="G37" s="10">
        <v>1</v>
      </c>
      <c r="H37" s="13">
        <v>5</v>
      </c>
      <c r="I37" s="10" t="str">
        <f t="shared" si="2"/>
        <v>EXCELLENT</v>
      </c>
      <c r="J37" s="21" t="str">
        <f t="shared" si="3"/>
        <v>MEDIUM PRICE</v>
      </c>
    </row>
    <row r="38" spans="1:10" x14ac:dyDescent="0.35">
      <c r="A38" t="s">
        <v>120</v>
      </c>
      <c r="B38" s="11">
        <v>171</v>
      </c>
      <c r="C38" s="11">
        <v>360</v>
      </c>
      <c r="D38" s="11">
        <f t="shared" si="0"/>
        <v>189</v>
      </c>
      <c r="E38" s="12">
        <v>0.53</v>
      </c>
      <c r="F38" s="12" t="str">
        <f t="shared" si="1"/>
        <v>HIGH DISCOUNT</v>
      </c>
      <c r="G38" s="10">
        <v>2</v>
      </c>
      <c r="H38" s="13">
        <v>5</v>
      </c>
      <c r="I38" s="10" t="str">
        <f t="shared" si="2"/>
        <v>EXCELLENT</v>
      </c>
      <c r="J38" s="21" t="str">
        <f t="shared" si="3"/>
        <v>LOW PRICE</v>
      </c>
    </row>
    <row r="39" spans="1:10" x14ac:dyDescent="0.35">
      <c r="A39" t="s">
        <v>122</v>
      </c>
      <c r="B39" s="11">
        <v>389</v>
      </c>
      <c r="C39" s="11">
        <v>656</v>
      </c>
      <c r="D39" s="11">
        <f t="shared" si="0"/>
        <v>267</v>
      </c>
      <c r="E39" s="12">
        <v>0.41</v>
      </c>
      <c r="F39" s="12" t="str">
        <f t="shared" si="1"/>
        <v>HIGH DISCOUNT</v>
      </c>
      <c r="G39" s="10">
        <v>36</v>
      </c>
      <c r="H39" s="13">
        <v>4.3</v>
      </c>
      <c r="I39" s="10" t="str">
        <f t="shared" si="2"/>
        <v>AVERAGE</v>
      </c>
      <c r="J39" s="21" t="str">
        <f t="shared" si="3"/>
        <v>LOW PRICE</v>
      </c>
    </row>
    <row r="40" spans="1:10" x14ac:dyDescent="0.35">
      <c r="A40" t="s">
        <v>334</v>
      </c>
      <c r="B40" s="11">
        <v>1620</v>
      </c>
      <c r="C40" s="11">
        <v>2200</v>
      </c>
      <c r="D40" s="11">
        <f t="shared" si="0"/>
        <v>580</v>
      </c>
      <c r="E40" s="12">
        <v>0.26</v>
      </c>
      <c r="F40" s="12" t="str">
        <f t="shared" si="1"/>
        <v>MEDIUM DISCOUNT</v>
      </c>
      <c r="G40" s="10">
        <v>2</v>
      </c>
      <c r="H40" s="13">
        <v>4.5</v>
      </c>
      <c r="I40" s="10" t="str">
        <f t="shared" si="2"/>
        <v>EXCELLENT</v>
      </c>
      <c r="J40" s="21" t="str">
        <f t="shared" si="3"/>
        <v>MEDIUM PRICE</v>
      </c>
    </row>
    <row r="41" spans="1:10" x14ac:dyDescent="0.35">
      <c r="A41" t="s">
        <v>333</v>
      </c>
      <c r="B41" s="11">
        <v>1980</v>
      </c>
      <c r="C41" s="11">
        <v>3200</v>
      </c>
      <c r="D41" s="11">
        <f t="shared" si="0"/>
        <v>1220</v>
      </c>
      <c r="E41" s="12">
        <v>0.38</v>
      </c>
      <c r="F41" s="12" t="str">
        <f t="shared" si="1"/>
        <v>MEDIUM DISCOUNT</v>
      </c>
      <c r="G41" s="10"/>
      <c r="H41" s="13"/>
      <c r="I41" s="10" t="str">
        <f t="shared" si="2"/>
        <v>NOT PROVIDED</v>
      </c>
      <c r="J41" s="21" t="str">
        <f t="shared" si="3"/>
        <v>MEDIUM PRICE</v>
      </c>
    </row>
    <row r="42" spans="1:10" x14ac:dyDescent="0.35">
      <c r="A42" t="s">
        <v>128</v>
      </c>
      <c r="B42" s="11">
        <v>2750</v>
      </c>
      <c r="C42" s="11">
        <v>4471</v>
      </c>
      <c r="D42" s="11">
        <f t="shared" si="0"/>
        <v>1721</v>
      </c>
      <c r="E42" s="12">
        <v>0.38</v>
      </c>
      <c r="F42" s="12" t="str">
        <f t="shared" si="1"/>
        <v>MEDIUM DISCOUNT</v>
      </c>
      <c r="G42" s="10"/>
      <c r="H42" s="13"/>
      <c r="I42" s="10" t="str">
        <f t="shared" si="2"/>
        <v>NOT PROVIDED</v>
      </c>
      <c r="J42" s="21" t="str">
        <f t="shared" si="3"/>
        <v>HIGH PRICE</v>
      </c>
    </row>
    <row r="43" spans="1:10" x14ac:dyDescent="0.35">
      <c r="A43" t="s">
        <v>131</v>
      </c>
      <c r="B43" s="11">
        <v>475</v>
      </c>
      <c r="C43" s="11">
        <v>931</v>
      </c>
      <c r="D43" s="11">
        <f t="shared" si="0"/>
        <v>456</v>
      </c>
      <c r="E43" s="12">
        <v>0.49</v>
      </c>
      <c r="F43" s="12" t="str">
        <f t="shared" si="1"/>
        <v>HIGH DISCOUNT</v>
      </c>
      <c r="G43" s="10"/>
      <c r="H43" s="13"/>
      <c r="I43" s="10" t="str">
        <f t="shared" si="2"/>
        <v>NOT PROVIDED</v>
      </c>
      <c r="J43" s="21" t="str">
        <f t="shared" si="3"/>
        <v>LOW PRICE</v>
      </c>
    </row>
    <row r="44" spans="1:10" x14ac:dyDescent="0.35">
      <c r="A44" t="s">
        <v>134</v>
      </c>
      <c r="B44" s="11">
        <v>238</v>
      </c>
      <c r="C44" s="11">
        <v>476</v>
      </c>
      <c r="D44" s="11">
        <f t="shared" si="0"/>
        <v>238</v>
      </c>
      <c r="E44" s="12">
        <v>0.5</v>
      </c>
      <c r="F44" s="12" t="str">
        <f t="shared" si="1"/>
        <v>HIGH DISCOUNT</v>
      </c>
      <c r="G44" s="10"/>
      <c r="H44" s="13"/>
      <c r="I44" s="10" t="str">
        <f t="shared" si="2"/>
        <v>NOT PROVIDED</v>
      </c>
      <c r="J44" s="21" t="str">
        <f t="shared" si="3"/>
        <v>LOW PRICE</v>
      </c>
    </row>
    <row r="45" spans="1:10" x14ac:dyDescent="0.35">
      <c r="A45" t="s">
        <v>137</v>
      </c>
      <c r="B45" s="11">
        <v>610</v>
      </c>
      <c r="C45" s="11">
        <v>1060</v>
      </c>
      <c r="D45" s="11">
        <f t="shared" si="0"/>
        <v>450</v>
      </c>
      <c r="E45" s="12">
        <v>0.42</v>
      </c>
      <c r="F45" s="12" t="str">
        <f t="shared" si="1"/>
        <v>HIGH DISCOUNT</v>
      </c>
      <c r="G45" s="10"/>
      <c r="H45" s="13"/>
      <c r="I45" s="10" t="str">
        <f t="shared" si="2"/>
        <v>NOT PROVIDED</v>
      </c>
      <c r="J45" s="21" t="str">
        <f t="shared" si="3"/>
        <v>LOW PRICE</v>
      </c>
    </row>
    <row r="46" spans="1:10" x14ac:dyDescent="0.35">
      <c r="A46" t="s">
        <v>140</v>
      </c>
      <c r="B46" s="11">
        <v>2132</v>
      </c>
      <c r="C46" s="11">
        <v>2169</v>
      </c>
      <c r="D46" s="11">
        <f t="shared" si="0"/>
        <v>37</v>
      </c>
      <c r="E46" s="12">
        <v>0.02</v>
      </c>
      <c r="F46" s="12" t="str">
        <f t="shared" si="1"/>
        <v>LOW DISCOUNT</v>
      </c>
      <c r="G46" s="10"/>
      <c r="H46" s="13"/>
      <c r="I46" s="10" t="str">
        <f t="shared" si="2"/>
        <v>NOT PROVIDED</v>
      </c>
      <c r="J46" s="21" t="str">
        <f t="shared" si="3"/>
        <v>HIGH PRICE</v>
      </c>
    </row>
    <row r="47" spans="1:10" x14ac:dyDescent="0.35">
      <c r="A47" t="s">
        <v>143</v>
      </c>
      <c r="B47" s="11">
        <v>999</v>
      </c>
      <c r="C47" s="11">
        <v>2000</v>
      </c>
      <c r="D47" s="11">
        <f t="shared" si="0"/>
        <v>1001</v>
      </c>
      <c r="E47" s="12">
        <v>0.5</v>
      </c>
      <c r="F47" s="12" t="str">
        <f t="shared" si="1"/>
        <v>HIGH DISCOUNT</v>
      </c>
      <c r="G47" s="10"/>
      <c r="H47" s="13"/>
      <c r="I47" s="10" t="str">
        <f t="shared" si="2"/>
        <v>NOT PROVIDED</v>
      </c>
      <c r="J47" s="21" t="str">
        <f t="shared" si="3"/>
        <v>LOW PRICE</v>
      </c>
    </row>
    <row r="48" spans="1:10" x14ac:dyDescent="0.35">
      <c r="A48" t="s">
        <v>145</v>
      </c>
      <c r="B48" s="11">
        <v>1190</v>
      </c>
      <c r="C48" s="11">
        <v>1785</v>
      </c>
      <c r="D48" s="11">
        <f t="shared" si="0"/>
        <v>595</v>
      </c>
      <c r="E48" s="12">
        <v>0.33</v>
      </c>
      <c r="F48" s="12" t="str">
        <f t="shared" si="1"/>
        <v>MEDIUM DISCOUNT</v>
      </c>
      <c r="G48" s="10"/>
      <c r="H48" s="13"/>
      <c r="I48" s="10" t="str">
        <f t="shared" si="2"/>
        <v>NOT PROVIDED</v>
      </c>
      <c r="J48" s="21" t="str">
        <f t="shared" si="3"/>
        <v>MEDIUM PRICE</v>
      </c>
    </row>
    <row r="49" spans="1:10" x14ac:dyDescent="0.35">
      <c r="A49" t="s">
        <v>148</v>
      </c>
      <c r="B49" s="11">
        <v>671</v>
      </c>
      <c r="C49" s="11">
        <v>1316</v>
      </c>
      <c r="D49" s="11">
        <f t="shared" si="0"/>
        <v>645</v>
      </c>
      <c r="E49" s="12">
        <v>0.49</v>
      </c>
      <c r="F49" s="12" t="str">
        <f t="shared" si="1"/>
        <v>HIGH DISCOUNT</v>
      </c>
      <c r="G49" s="10"/>
      <c r="H49" s="13"/>
      <c r="I49" s="10" t="str">
        <f t="shared" si="2"/>
        <v>NOT PROVIDED</v>
      </c>
      <c r="J49" s="21" t="str">
        <f t="shared" si="3"/>
        <v>LOW PRICE</v>
      </c>
    </row>
    <row r="50" spans="1:10" x14ac:dyDescent="0.35">
      <c r="A50" t="s">
        <v>151</v>
      </c>
      <c r="B50" s="11">
        <v>1200</v>
      </c>
      <c r="C50" s="11">
        <v>1950</v>
      </c>
      <c r="D50" s="11">
        <f t="shared" si="0"/>
        <v>750</v>
      </c>
      <c r="E50" s="12">
        <v>0.38</v>
      </c>
      <c r="F50" s="12" t="str">
        <f t="shared" si="1"/>
        <v>MEDIUM DISCOUNT</v>
      </c>
      <c r="G50" s="10"/>
      <c r="H50" s="13"/>
      <c r="I50" s="10" t="str">
        <f t="shared" si="2"/>
        <v>NOT PROVIDED</v>
      </c>
      <c r="J50" s="21" t="str">
        <f t="shared" si="3"/>
        <v>MEDIUM PRICE</v>
      </c>
    </row>
    <row r="51" spans="1:10" x14ac:dyDescent="0.35">
      <c r="A51" t="s">
        <v>154</v>
      </c>
      <c r="B51" s="11">
        <v>199</v>
      </c>
      <c r="C51" s="11">
        <v>504</v>
      </c>
      <c r="D51" s="11">
        <f t="shared" si="0"/>
        <v>305</v>
      </c>
      <c r="E51" s="12">
        <v>0.61</v>
      </c>
      <c r="F51" s="12" t="str">
        <f t="shared" si="1"/>
        <v>HIGH DISCOUNT</v>
      </c>
      <c r="G51" s="10"/>
      <c r="H51" s="13"/>
      <c r="I51" s="10" t="str">
        <f t="shared" si="2"/>
        <v>NOT PROVIDED</v>
      </c>
      <c r="J51" s="21" t="str">
        <f t="shared" si="3"/>
        <v>LOW PRICE</v>
      </c>
    </row>
    <row r="52" spans="1:10" x14ac:dyDescent="0.35">
      <c r="A52" t="s">
        <v>157</v>
      </c>
      <c r="B52" s="11">
        <v>299</v>
      </c>
      <c r="C52" s="11">
        <v>600</v>
      </c>
      <c r="D52" s="11">
        <f t="shared" si="0"/>
        <v>301</v>
      </c>
      <c r="E52" s="12">
        <v>0.5</v>
      </c>
      <c r="F52" s="12" t="str">
        <f t="shared" si="1"/>
        <v>HIGH DISCOUNT</v>
      </c>
      <c r="G52" s="10"/>
      <c r="H52" s="13"/>
      <c r="I52" s="10" t="str">
        <f t="shared" si="2"/>
        <v>NOT PROVIDED</v>
      </c>
      <c r="J52" s="21" t="str">
        <f t="shared" si="3"/>
        <v>LOW PRICE</v>
      </c>
    </row>
    <row r="53" spans="1:10" x14ac:dyDescent="0.35">
      <c r="A53" t="s">
        <v>160</v>
      </c>
      <c r="B53" s="11">
        <v>1660</v>
      </c>
      <c r="C53" s="11">
        <v>1699</v>
      </c>
      <c r="D53" s="11">
        <f t="shared" si="0"/>
        <v>39</v>
      </c>
      <c r="E53" s="12">
        <v>0.02</v>
      </c>
      <c r="F53" s="12" t="str">
        <f t="shared" si="1"/>
        <v>LOW DISCOUNT</v>
      </c>
      <c r="G53" s="10"/>
      <c r="H53" s="13"/>
      <c r="I53" s="10" t="str">
        <f t="shared" si="2"/>
        <v>NOT PROVIDED</v>
      </c>
      <c r="J53" s="21" t="str">
        <f t="shared" si="3"/>
        <v>MEDIUM PRICE</v>
      </c>
    </row>
    <row r="54" spans="1:10" x14ac:dyDescent="0.35">
      <c r="A54" t="s">
        <v>163</v>
      </c>
      <c r="B54" s="11">
        <v>299</v>
      </c>
      <c r="C54" s="11">
        <v>384</v>
      </c>
      <c r="D54" s="11">
        <f t="shared" si="0"/>
        <v>85</v>
      </c>
      <c r="E54" s="12">
        <v>0.22</v>
      </c>
      <c r="F54" s="12" t="str">
        <f t="shared" si="1"/>
        <v>MEDIUM DISCOUNT</v>
      </c>
      <c r="G54" s="10"/>
      <c r="H54" s="13"/>
      <c r="I54" s="10" t="str">
        <f t="shared" si="2"/>
        <v>NOT PROVIDED</v>
      </c>
      <c r="J54" s="21" t="str">
        <f t="shared" si="3"/>
        <v>LOW PRICE</v>
      </c>
    </row>
    <row r="55" spans="1:10" x14ac:dyDescent="0.35">
      <c r="A55" t="s">
        <v>165</v>
      </c>
      <c r="B55" s="11">
        <v>1459</v>
      </c>
      <c r="C55" s="11">
        <v>1499</v>
      </c>
      <c r="D55" s="11">
        <f t="shared" si="0"/>
        <v>40</v>
      </c>
      <c r="E55" s="12">
        <v>0.03</v>
      </c>
      <c r="F55" s="12" t="str">
        <f t="shared" si="1"/>
        <v>LOW DISCOUNT</v>
      </c>
      <c r="G55" s="10"/>
      <c r="H55" s="13"/>
      <c r="I55" s="10" t="str">
        <f t="shared" si="2"/>
        <v>NOT PROVIDED</v>
      </c>
      <c r="J55" s="21" t="str">
        <f t="shared" si="3"/>
        <v>MEDIUM PRICE</v>
      </c>
    </row>
    <row r="56" spans="1:10" x14ac:dyDescent="0.35">
      <c r="A56" t="s">
        <v>168</v>
      </c>
      <c r="B56" s="11">
        <v>799</v>
      </c>
      <c r="C56" s="11">
        <v>1343</v>
      </c>
      <c r="D56" s="11">
        <f t="shared" si="0"/>
        <v>544</v>
      </c>
      <c r="E56" s="12">
        <v>0.41</v>
      </c>
      <c r="F56" s="12" t="str">
        <f t="shared" si="1"/>
        <v>HIGH DISCOUNT</v>
      </c>
      <c r="G56" s="10"/>
      <c r="H56" s="13"/>
      <c r="I56" s="10" t="str">
        <f t="shared" si="2"/>
        <v>NOT PROVIDED</v>
      </c>
      <c r="J56" s="21" t="str">
        <f t="shared" si="3"/>
        <v>LOW PRICE</v>
      </c>
    </row>
    <row r="57" spans="1:10" x14ac:dyDescent="0.35">
      <c r="A57" t="s">
        <v>170</v>
      </c>
      <c r="B57" s="11">
        <v>499</v>
      </c>
      <c r="C57" s="11">
        <v>900</v>
      </c>
      <c r="D57" s="11">
        <f t="shared" si="0"/>
        <v>401</v>
      </c>
      <c r="E57" s="12">
        <v>0.45</v>
      </c>
      <c r="F57" s="12" t="str">
        <f t="shared" si="1"/>
        <v>HIGH DISCOUNT</v>
      </c>
      <c r="G57" s="10"/>
      <c r="H57" s="13"/>
      <c r="I57" s="10" t="str">
        <f t="shared" si="2"/>
        <v>NOT PROVIDED</v>
      </c>
      <c r="J57" s="21" t="str">
        <f t="shared" si="3"/>
        <v>LOW PRICE</v>
      </c>
    </row>
    <row r="58" spans="1:10" x14ac:dyDescent="0.35">
      <c r="A58" t="s">
        <v>173</v>
      </c>
      <c r="B58" s="11">
        <v>699</v>
      </c>
      <c r="C58" s="11">
        <v>1343</v>
      </c>
      <c r="D58" s="11">
        <f t="shared" si="0"/>
        <v>644</v>
      </c>
      <c r="E58" s="12">
        <v>0.48</v>
      </c>
      <c r="F58" s="12" t="str">
        <f t="shared" si="1"/>
        <v>HIGH DISCOUNT</v>
      </c>
      <c r="G58" s="10"/>
      <c r="H58" s="13"/>
      <c r="I58" s="10" t="str">
        <f t="shared" si="2"/>
        <v>NOT PROVIDED</v>
      </c>
      <c r="J58" s="21" t="str">
        <f t="shared" si="3"/>
        <v>LOW PRICE</v>
      </c>
    </row>
    <row r="59" spans="1:10" x14ac:dyDescent="0.35">
      <c r="A59" t="s">
        <v>175</v>
      </c>
      <c r="B59" s="11">
        <v>799</v>
      </c>
      <c r="C59" s="11">
        <v>1567</v>
      </c>
      <c r="D59" s="11">
        <f t="shared" si="0"/>
        <v>768</v>
      </c>
      <c r="E59" s="12">
        <v>0.49</v>
      </c>
      <c r="F59" s="12" t="str">
        <f t="shared" si="1"/>
        <v>HIGH DISCOUNT</v>
      </c>
      <c r="G59" s="10"/>
      <c r="H59" s="13"/>
      <c r="I59" s="10" t="str">
        <f t="shared" si="2"/>
        <v>NOT PROVIDED</v>
      </c>
      <c r="J59" s="21" t="str">
        <f t="shared" si="3"/>
        <v>LOW PRICE</v>
      </c>
    </row>
    <row r="60" spans="1:10" x14ac:dyDescent="0.35">
      <c r="A60" t="s">
        <v>177</v>
      </c>
      <c r="B60" s="11">
        <v>2799</v>
      </c>
      <c r="C60" s="11">
        <v>3810</v>
      </c>
      <c r="D60" s="11">
        <f t="shared" si="0"/>
        <v>1011</v>
      </c>
      <c r="E60" s="12">
        <v>0.27</v>
      </c>
      <c r="F60" s="12" t="str">
        <f t="shared" si="1"/>
        <v>MEDIUM DISCOUNT</v>
      </c>
      <c r="G60" s="10"/>
      <c r="H60" s="13"/>
      <c r="I60" s="10" t="str">
        <f t="shared" si="2"/>
        <v>NOT PROVIDED</v>
      </c>
      <c r="J60" s="21" t="str">
        <f t="shared" si="3"/>
        <v>HIGH PRICE</v>
      </c>
    </row>
    <row r="61" spans="1:10" x14ac:dyDescent="0.35">
      <c r="A61" t="s">
        <v>170</v>
      </c>
      <c r="B61" s="11">
        <v>399</v>
      </c>
      <c r="C61" s="11">
        <v>896</v>
      </c>
      <c r="D61" s="11">
        <f t="shared" si="0"/>
        <v>497</v>
      </c>
      <c r="E61" s="12">
        <v>0.55000000000000004</v>
      </c>
      <c r="F61" s="12" t="str">
        <f t="shared" si="1"/>
        <v>HIGH DISCOUNT</v>
      </c>
      <c r="G61" s="10"/>
      <c r="H61" s="13"/>
      <c r="I61" s="10" t="str">
        <f t="shared" si="2"/>
        <v>NOT PROVIDED</v>
      </c>
      <c r="J61" s="21" t="str">
        <f t="shared" si="3"/>
        <v>LOW PRICE</v>
      </c>
    </row>
    <row r="62" spans="1:10" x14ac:dyDescent="0.35">
      <c r="A62" t="s">
        <v>182</v>
      </c>
      <c r="B62" s="11">
        <v>2170</v>
      </c>
      <c r="C62" s="11">
        <v>2500</v>
      </c>
      <c r="D62" s="11">
        <f t="shared" si="0"/>
        <v>330</v>
      </c>
      <c r="E62" s="12">
        <v>0.13</v>
      </c>
      <c r="F62" s="12" t="str">
        <f t="shared" si="1"/>
        <v>LOW DISCOUNT</v>
      </c>
      <c r="G62" s="10">
        <v>6</v>
      </c>
      <c r="H62" s="13">
        <v>2.5</v>
      </c>
      <c r="I62" s="10" t="str">
        <f t="shared" si="2"/>
        <v>POOR</v>
      </c>
      <c r="J62" s="21" t="str">
        <f t="shared" si="3"/>
        <v>HIGH PRICE</v>
      </c>
    </row>
    <row r="63" spans="1:10" x14ac:dyDescent="0.35">
      <c r="A63" t="s">
        <v>186</v>
      </c>
      <c r="B63" s="11">
        <v>458</v>
      </c>
      <c r="C63" s="11">
        <v>986</v>
      </c>
      <c r="D63" s="11">
        <f t="shared" si="0"/>
        <v>528</v>
      </c>
      <c r="E63" s="12">
        <v>0.54</v>
      </c>
      <c r="F63" s="12" t="str">
        <f t="shared" si="1"/>
        <v>HIGH DISCOUNT</v>
      </c>
      <c r="G63" s="10">
        <v>10</v>
      </c>
      <c r="H63" s="13">
        <v>3</v>
      </c>
      <c r="I63" s="10" t="str">
        <f t="shared" si="2"/>
        <v>AVERAGE</v>
      </c>
      <c r="J63" s="21" t="str">
        <f t="shared" si="3"/>
        <v>LOW PRICE</v>
      </c>
    </row>
    <row r="64" spans="1:10" x14ac:dyDescent="0.35">
      <c r="A64" t="s">
        <v>190</v>
      </c>
      <c r="B64" s="11">
        <v>2115</v>
      </c>
      <c r="C64" s="11">
        <v>4700</v>
      </c>
      <c r="D64" s="11">
        <f t="shared" si="0"/>
        <v>2585</v>
      </c>
      <c r="E64" s="12">
        <v>0.55000000000000004</v>
      </c>
      <c r="F64" s="12" t="str">
        <f t="shared" si="1"/>
        <v>HIGH DISCOUNT</v>
      </c>
      <c r="G64" s="10">
        <v>13</v>
      </c>
      <c r="H64" s="13">
        <v>2.1</v>
      </c>
      <c r="I64" s="10" t="str">
        <f t="shared" si="2"/>
        <v>POOR</v>
      </c>
      <c r="J64" s="21" t="str">
        <f t="shared" si="3"/>
        <v>HIGH PRICE</v>
      </c>
    </row>
    <row r="65" spans="1:10" x14ac:dyDescent="0.35">
      <c r="A65" t="s">
        <v>194</v>
      </c>
      <c r="B65" s="11">
        <v>445</v>
      </c>
      <c r="C65" s="11">
        <v>873</v>
      </c>
      <c r="D65" s="11">
        <f t="shared" si="0"/>
        <v>428</v>
      </c>
      <c r="E65" s="12">
        <v>0.49</v>
      </c>
      <c r="F65" s="12" t="str">
        <f t="shared" si="1"/>
        <v>HIGH DISCOUNT</v>
      </c>
      <c r="G65" s="10">
        <v>69</v>
      </c>
      <c r="H65" s="13">
        <v>2.8</v>
      </c>
      <c r="I65" s="10" t="str">
        <f t="shared" si="2"/>
        <v>POOR</v>
      </c>
      <c r="J65" s="21" t="str">
        <f t="shared" si="3"/>
        <v>LOW PRICE</v>
      </c>
    </row>
    <row r="66" spans="1:10" x14ac:dyDescent="0.35">
      <c r="A66" t="s">
        <v>198</v>
      </c>
      <c r="B66" s="11">
        <v>325</v>
      </c>
      <c r="C66" s="11">
        <v>680</v>
      </c>
      <c r="D66" s="11">
        <f t="shared" si="0"/>
        <v>355</v>
      </c>
      <c r="E66" s="12">
        <v>0.52</v>
      </c>
      <c r="F66" s="12" t="str">
        <f t="shared" si="1"/>
        <v>HIGH DISCOUNT</v>
      </c>
      <c r="G66" s="10">
        <v>15</v>
      </c>
      <c r="H66" s="13">
        <v>2.7</v>
      </c>
      <c r="I66" s="10" t="str">
        <f t="shared" si="2"/>
        <v>POOR</v>
      </c>
      <c r="J66" s="21" t="str">
        <f t="shared" si="3"/>
        <v>LOW PRICE</v>
      </c>
    </row>
    <row r="67" spans="1:10" x14ac:dyDescent="0.35">
      <c r="A67" t="s">
        <v>202</v>
      </c>
      <c r="B67" s="11">
        <v>1220</v>
      </c>
      <c r="C67" s="11">
        <v>1555</v>
      </c>
      <c r="D67" s="11">
        <f t="shared" si="0"/>
        <v>335</v>
      </c>
      <c r="E67" s="12">
        <v>0.22</v>
      </c>
      <c r="F67" s="12" t="str">
        <f t="shared" si="1"/>
        <v>MEDIUM DISCOUNT</v>
      </c>
      <c r="G67" s="10">
        <v>16</v>
      </c>
      <c r="H67" s="13">
        <v>2.9</v>
      </c>
      <c r="I67" s="10" t="str">
        <f t="shared" si="2"/>
        <v>POOR</v>
      </c>
      <c r="J67" s="21" t="str">
        <f t="shared" si="3"/>
        <v>MEDIUM PRICE</v>
      </c>
    </row>
    <row r="68" spans="1:10" x14ac:dyDescent="0.35">
      <c r="A68" t="s">
        <v>206</v>
      </c>
      <c r="B68" s="11">
        <v>990</v>
      </c>
      <c r="C68" s="11">
        <v>1814</v>
      </c>
      <c r="D68" s="11">
        <f t="shared" ref="D68:D114" si="4">C68-B68</f>
        <v>824</v>
      </c>
      <c r="E68" s="12">
        <v>0.45</v>
      </c>
      <c r="F68" s="12" t="str">
        <f t="shared" ref="F68:F114" si="5">IF(E68&lt;20%,"LOW DISCOUNT",IF(E68&lt;40%,"MEDIUM DISCOUNT","HIGH DISCOUNT"))</f>
        <v>HIGH DISCOUNT</v>
      </c>
      <c r="G68" s="10">
        <v>6</v>
      </c>
      <c r="H68" s="13">
        <v>2.2000000000000002</v>
      </c>
      <c r="I68" s="10" t="str">
        <f t="shared" ref="I68:I114" si="6">IF(ISBLANK(H68),"NOT PROVIDED",IF(H68&lt;3,"POOR",IF(H68&lt;4.5,"AVERAGE","EXCELLENT")))</f>
        <v>POOR</v>
      </c>
      <c r="J68" s="21" t="str">
        <f t="shared" ref="J68:J114" si="7">IF(B68&lt;1000,"LOW PRICE",IF(B68&lt;2000,"MEDIUM PRICE","HIGH PRICE"))</f>
        <v>LOW PRICE</v>
      </c>
    </row>
    <row r="69" spans="1:10" x14ac:dyDescent="0.35">
      <c r="A69" t="s">
        <v>209</v>
      </c>
      <c r="B69" s="11">
        <v>1000</v>
      </c>
      <c r="C69" s="11">
        <v>2000</v>
      </c>
      <c r="D69" s="11">
        <f t="shared" si="4"/>
        <v>1000</v>
      </c>
      <c r="E69" s="12">
        <v>0.5</v>
      </c>
      <c r="F69" s="12" t="str">
        <f t="shared" si="5"/>
        <v>HIGH DISCOUNT</v>
      </c>
      <c r="G69" s="10">
        <v>7</v>
      </c>
      <c r="H69" s="13">
        <v>2.2999999999999998</v>
      </c>
      <c r="I69" s="10" t="str">
        <f t="shared" si="6"/>
        <v>POOR</v>
      </c>
      <c r="J69" s="21" t="str">
        <f t="shared" si="7"/>
        <v>MEDIUM PRICE</v>
      </c>
    </row>
    <row r="70" spans="1:10" x14ac:dyDescent="0.35">
      <c r="A70" t="s">
        <v>212</v>
      </c>
      <c r="B70" s="11">
        <v>3750</v>
      </c>
      <c r="C70" s="11">
        <v>6143</v>
      </c>
      <c r="D70" s="11">
        <f t="shared" si="4"/>
        <v>2393</v>
      </c>
      <c r="E70" s="12">
        <v>0.39</v>
      </c>
      <c r="F70" s="12" t="str">
        <f t="shared" si="5"/>
        <v>MEDIUM DISCOUNT</v>
      </c>
      <c r="G70" s="10">
        <v>5</v>
      </c>
      <c r="H70" s="13">
        <v>3</v>
      </c>
      <c r="I70" s="10" t="str">
        <f t="shared" si="6"/>
        <v>AVERAGE</v>
      </c>
      <c r="J70" s="21" t="str">
        <f t="shared" si="7"/>
        <v>HIGH PRICE</v>
      </c>
    </row>
    <row r="71" spans="1:10" x14ac:dyDescent="0.35">
      <c r="A71" t="s">
        <v>215</v>
      </c>
      <c r="B71" s="11">
        <v>382</v>
      </c>
      <c r="C71" s="11">
        <v>700</v>
      </c>
      <c r="D71" s="11">
        <f t="shared" si="4"/>
        <v>318</v>
      </c>
      <c r="E71" s="12">
        <v>0.45</v>
      </c>
      <c r="F71" s="12" t="str">
        <f t="shared" si="5"/>
        <v>HIGH DISCOUNT</v>
      </c>
      <c r="G71" s="10">
        <v>17</v>
      </c>
      <c r="H71" s="13">
        <v>2.6</v>
      </c>
      <c r="I71" s="10" t="str">
        <f t="shared" si="6"/>
        <v>POOR</v>
      </c>
      <c r="J71" s="21" t="str">
        <f t="shared" si="7"/>
        <v>LOW PRICE</v>
      </c>
    </row>
    <row r="72" spans="1:10" x14ac:dyDescent="0.35">
      <c r="A72" t="s">
        <v>218</v>
      </c>
      <c r="B72" s="11">
        <v>2300</v>
      </c>
      <c r="C72" s="11">
        <v>3240</v>
      </c>
      <c r="D72" s="11">
        <f t="shared" si="4"/>
        <v>940</v>
      </c>
      <c r="E72" s="12">
        <v>0.28999999999999998</v>
      </c>
      <c r="F72" s="12" t="str">
        <f t="shared" si="5"/>
        <v>MEDIUM DISCOUNT</v>
      </c>
      <c r="G72" s="10">
        <v>5</v>
      </c>
      <c r="H72" s="13">
        <v>3</v>
      </c>
      <c r="I72" s="10" t="str">
        <f t="shared" si="6"/>
        <v>AVERAGE</v>
      </c>
      <c r="J72" s="21" t="str">
        <f t="shared" si="7"/>
        <v>HIGH PRICE</v>
      </c>
    </row>
    <row r="73" spans="1:10" x14ac:dyDescent="0.35">
      <c r="A73" t="s">
        <v>221</v>
      </c>
      <c r="B73" s="11">
        <v>345</v>
      </c>
      <c r="C73" s="11">
        <v>602</v>
      </c>
      <c r="D73" s="11">
        <f t="shared" si="4"/>
        <v>257</v>
      </c>
      <c r="E73" s="12">
        <v>0.43</v>
      </c>
      <c r="F73" s="12" t="str">
        <f t="shared" si="5"/>
        <v>HIGH DISCOUNT</v>
      </c>
      <c r="G73" s="10">
        <v>6</v>
      </c>
      <c r="H73" s="13">
        <v>2.2999999999999998</v>
      </c>
      <c r="I73" s="10" t="str">
        <f t="shared" si="6"/>
        <v>POOR</v>
      </c>
      <c r="J73" s="21" t="str">
        <f t="shared" si="7"/>
        <v>LOW PRICE</v>
      </c>
    </row>
    <row r="74" spans="1:10" x14ac:dyDescent="0.35">
      <c r="A74" t="s">
        <v>224</v>
      </c>
      <c r="B74" s="11">
        <v>509</v>
      </c>
      <c r="C74" s="11">
        <v>899</v>
      </c>
      <c r="D74" s="11">
        <f t="shared" si="4"/>
        <v>390</v>
      </c>
      <c r="E74" s="12">
        <v>0.43</v>
      </c>
      <c r="F74" s="12" t="str">
        <f t="shared" si="5"/>
        <v>HIGH DISCOUNT</v>
      </c>
      <c r="G74" s="10">
        <v>5</v>
      </c>
      <c r="H74" s="13">
        <v>3</v>
      </c>
      <c r="I74" s="10" t="str">
        <f t="shared" si="6"/>
        <v>AVERAGE</v>
      </c>
      <c r="J74" s="21" t="str">
        <f t="shared" si="7"/>
        <v>LOW PRICE</v>
      </c>
    </row>
    <row r="75" spans="1:10" x14ac:dyDescent="0.35">
      <c r="A75" t="s">
        <v>227</v>
      </c>
      <c r="B75" s="11">
        <v>968</v>
      </c>
      <c r="C75" s="11">
        <v>1814</v>
      </c>
      <c r="D75" s="11">
        <f t="shared" si="4"/>
        <v>846</v>
      </c>
      <c r="E75" s="12">
        <v>0.47</v>
      </c>
      <c r="F75" s="12" t="str">
        <f t="shared" si="5"/>
        <v>HIGH DISCOUNT</v>
      </c>
      <c r="G75" s="10">
        <v>6</v>
      </c>
      <c r="H75" s="13">
        <v>2.2000000000000002</v>
      </c>
      <c r="I75" s="10" t="str">
        <f t="shared" si="6"/>
        <v>POOR</v>
      </c>
      <c r="J75" s="21" t="str">
        <f t="shared" si="7"/>
        <v>LOW PRICE</v>
      </c>
    </row>
    <row r="76" spans="1:10" x14ac:dyDescent="0.35">
      <c r="A76" t="s">
        <v>229</v>
      </c>
      <c r="B76" s="11">
        <v>1570</v>
      </c>
      <c r="C76" s="11">
        <v>2988</v>
      </c>
      <c r="D76" s="11">
        <f t="shared" si="4"/>
        <v>1418</v>
      </c>
      <c r="E76" s="12">
        <v>0.47</v>
      </c>
      <c r="F76" s="12" t="str">
        <f t="shared" si="5"/>
        <v>HIGH DISCOUNT</v>
      </c>
      <c r="G76" s="10">
        <v>7</v>
      </c>
      <c r="H76" s="13">
        <v>2.1</v>
      </c>
      <c r="I76" s="10" t="str">
        <f t="shared" si="6"/>
        <v>POOR</v>
      </c>
      <c r="J76" s="21" t="str">
        <f t="shared" si="7"/>
        <v>MEDIUM PRICE</v>
      </c>
    </row>
    <row r="77" spans="1:10" x14ac:dyDescent="0.35">
      <c r="A77" t="s">
        <v>232</v>
      </c>
      <c r="B77" s="11">
        <v>790</v>
      </c>
      <c r="C77" s="11">
        <v>1485</v>
      </c>
      <c r="D77" s="11">
        <f t="shared" si="4"/>
        <v>695</v>
      </c>
      <c r="E77" s="12">
        <v>0.47</v>
      </c>
      <c r="F77" s="12" t="str">
        <f t="shared" si="5"/>
        <v>HIGH DISCOUNT</v>
      </c>
      <c r="G77" s="10"/>
      <c r="H77" s="13"/>
      <c r="I77" s="10" t="str">
        <f t="shared" si="6"/>
        <v>NOT PROVIDED</v>
      </c>
      <c r="J77" s="21" t="str">
        <f t="shared" si="7"/>
        <v>LOW PRICE</v>
      </c>
    </row>
    <row r="78" spans="1:10" x14ac:dyDescent="0.35">
      <c r="A78" t="s">
        <v>235</v>
      </c>
      <c r="B78" s="11">
        <v>690</v>
      </c>
      <c r="C78" s="11">
        <v>1200</v>
      </c>
      <c r="D78" s="11">
        <f t="shared" si="4"/>
        <v>510</v>
      </c>
      <c r="E78" s="12">
        <v>0.43</v>
      </c>
      <c r="F78" s="12" t="str">
        <f t="shared" si="5"/>
        <v>HIGH DISCOUNT</v>
      </c>
      <c r="G78" s="10"/>
      <c r="H78" s="13"/>
      <c r="I78" s="10" t="str">
        <f t="shared" si="6"/>
        <v>NOT PROVIDED</v>
      </c>
      <c r="J78" s="21" t="str">
        <f t="shared" si="7"/>
        <v>LOW PRICE</v>
      </c>
    </row>
    <row r="79" spans="1:10" x14ac:dyDescent="0.35">
      <c r="A79" t="s">
        <v>237</v>
      </c>
      <c r="B79" s="11">
        <v>1732</v>
      </c>
      <c r="C79" s="11">
        <v>1799</v>
      </c>
      <c r="D79" s="11">
        <f t="shared" si="4"/>
        <v>67</v>
      </c>
      <c r="E79" s="12">
        <v>0.04</v>
      </c>
      <c r="F79" s="12" t="str">
        <f t="shared" si="5"/>
        <v>LOW DISCOUNT</v>
      </c>
      <c r="G79" s="10"/>
      <c r="H79" s="13"/>
      <c r="I79" s="10" t="str">
        <f t="shared" si="6"/>
        <v>NOT PROVIDED</v>
      </c>
      <c r="J79" s="21" t="str">
        <f t="shared" si="7"/>
        <v>MEDIUM PRICE</v>
      </c>
    </row>
    <row r="80" spans="1:10" x14ac:dyDescent="0.35">
      <c r="A80" t="s">
        <v>240</v>
      </c>
      <c r="B80" s="11">
        <v>230</v>
      </c>
      <c r="C80" s="11">
        <v>450</v>
      </c>
      <c r="D80" s="11">
        <f t="shared" si="4"/>
        <v>220</v>
      </c>
      <c r="E80" s="12">
        <v>0.49</v>
      </c>
      <c r="F80" s="12" t="str">
        <f t="shared" si="5"/>
        <v>HIGH DISCOUNT</v>
      </c>
      <c r="G80" s="10"/>
      <c r="H80" s="13"/>
      <c r="I80" s="10" t="str">
        <f t="shared" si="6"/>
        <v>NOT PROVIDED</v>
      </c>
      <c r="J80" s="21" t="str">
        <f t="shared" si="7"/>
        <v>LOW PRICE</v>
      </c>
    </row>
    <row r="81" spans="1:10" x14ac:dyDescent="0.35">
      <c r="A81" t="s">
        <v>243</v>
      </c>
      <c r="B81" s="11">
        <v>1189</v>
      </c>
      <c r="C81" s="11">
        <v>2199</v>
      </c>
      <c r="D81" s="11">
        <f t="shared" si="4"/>
        <v>1010</v>
      </c>
      <c r="E81" s="12">
        <v>0.46</v>
      </c>
      <c r="F81" s="12" t="str">
        <f t="shared" si="5"/>
        <v>HIGH DISCOUNT</v>
      </c>
      <c r="G81" s="10">
        <v>1</v>
      </c>
      <c r="H81" s="13">
        <v>3</v>
      </c>
      <c r="I81" s="10" t="str">
        <f t="shared" si="6"/>
        <v>AVERAGE</v>
      </c>
      <c r="J81" s="21" t="str">
        <f t="shared" si="7"/>
        <v>MEDIUM PRICE</v>
      </c>
    </row>
    <row r="82" spans="1:10" x14ac:dyDescent="0.35">
      <c r="A82" t="s">
        <v>245</v>
      </c>
      <c r="B82" s="11">
        <v>979</v>
      </c>
      <c r="C82" s="11">
        <v>1920</v>
      </c>
      <c r="D82" s="11">
        <f t="shared" si="4"/>
        <v>941</v>
      </c>
      <c r="E82" s="12">
        <v>0.49</v>
      </c>
      <c r="F82" s="12" t="str">
        <f t="shared" si="5"/>
        <v>HIGH DISCOUNT</v>
      </c>
      <c r="G82" s="10">
        <v>1</v>
      </c>
      <c r="H82" s="13">
        <v>5</v>
      </c>
      <c r="I82" s="10" t="str">
        <f t="shared" si="6"/>
        <v>EXCELLENT</v>
      </c>
      <c r="J82" s="21" t="str">
        <f t="shared" si="7"/>
        <v>LOW PRICE</v>
      </c>
    </row>
    <row r="83" spans="1:10" x14ac:dyDescent="0.35">
      <c r="A83" t="s">
        <v>248</v>
      </c>
      <c r="B83" s="11">
        <v>1460</v>
      </c>
      <c r="C83" s="11">
        <v>2290</v>
      </c>
      <c r="D83" s="11">
        <f t="shared" si="4"/>
        <v>830</v>
      </c>
      <c r="E83" s="12">
        <v>0.36</v>
      </c>
      <c r="F83" s="12" t="str">
        <f t="shared" si="5"/>
        <v>MEDIUM DISCOUNT</v>
      </c>
      <c r="G83" s="10"/>
      <c r="H83" s="13"/>
      <c r="I83" s="10" t="str">
        <f t="shared" si="6"/>
        <v>NOT PROVIDED</v>
      </c>
      <c r="J83" s="21" t="str">
        <f t="shared" si="7"/>
        <v>MEDIUM PRICE</v>
      </c>
    </row>
    <row r="84" spans="1:10" x14ac:dyDescent="0.35">
      <c r="A84" t="s">
        <v>251</v>
      </c>
      <c r="B84" s="11">
        <v>1666</v>
      </c>
      <c r="C84" s="11">
        <v>1699</v>
      </c>
      <c r="D84" s="11">
        <f t="shared" si="4"/>
        <v>33</v>
      </c>
      <c r="E84" s="12">
        <v>0.02</v>
      </c>
      <c r="F84" s="12" t="str">
        <f t="shared" si="5"/>
        <v>LOW DISCOUNT</v>
      </c>
      <c r="G84" s="10"/>
      <c r="H84" s="13"/>
      <c r="I84" s="10" t="str">
        <f t="shared" si="6"/>
        <v>NOT PROVIDED</v>
      </c>
      <c r="J84" s="21" t="str">
        <f t="shared" si="7"/>
        <v>MEDIUM PRICE</v>
      </c>
    </row>
    <row r="85" spans="1:10" x14ac:dyDescent="0.35">
      <c r="A85" t="s">
        <v>253</v>
      </c>
      <c r="B85" s="11">
        <v>330</v>
      </c>
      <c r="C85" s="11">
        <v>647</v>
      </c>
      <c r="D85" s="11">
        <f t="shared" si="4"/>
        <v>317</v>
      </c>
      <c r="E85" s="12">
        <v>0.49</v>
      </c>
      <c r="F85" s="12" t="str">
        <f t="shared" si="5"/>
        <v>HIGH DISCOUNT</v>
      </c>
      <c r="G85" s="10">
        <v>1</v>
      </c>
      <c r="H85" s="13">
        <v>4</v>
      </c>
      <c r="I85" s="10" t="str">
        <f t="shared" si="6"/>
        <v>AVERAGE</v>
      </c>
      <c r="J85" s="21" t="str">
        <f t="shared" si="7"/>
        <v>LOW PRICE</v>
      </c>
    </row>
    <row r="86" spans="1:10" x14ac:dyDescent="0.35">
      <c r="A86" t="s">
        <v>154</v>
      </c>
      <c r="B86" s="11">
        <v>176</v>
      </c>
      <c r="C86" s="11">
        <v>345</v>
      </c>
      <c r="D86" s="11">
        <f t="shared" si="4"/>
        <v>169</v>
      </c>
      <c r="E86" s="12">
        <v>0.49</v>
      </c>
      <c r="F86" s="12" t="str">
        <f t="shared" si="5"/>
        <v>HIGH DISCOUNT</v>
      </c>
      <c r="G86" s="10"/>
      <c r="H86" s="13"/>
      <c r="I86" s="10" t="str">
        <f t="shared" si="6"/>
        <v>NOT PROVIDED</v>
      </c>
      <c r="J86" s="21" t="str">
        <f t="shared" si="7"/>
        <v>LOW PRICE</v>
      </c>
    </row>
    <row r="87" spans="1:10" x14ac:dyDescent="0.35">
      <c r="A87" t="s">
        <v>256</v>
      </c>
      <c r="B87" s="11">
        <v>1466</v>
      </c>
      <c r="C87" s="11">
        <v>1699</v>
      </c>
      <c r="D87" s="11">
        <f t="shared" si="4"/>
        <v>233</v>
      </c>
      <c r="E87" s="12">
        <v>0.14000000000000001</v>
      </c>
      <c r="F87" s="12" t="str">
        <f t="shared" si="5"/>
        <v>LOW DISCOUNT</v>
      </c>
      <c r="G87" s="10"/>
      <c r="H87" s="13"/>
      <c r="I87" s="10" t="str">
        <f t="shared" si="6"/>
        <v>NOT PROVIDED</v>
      </c>
      <c r="J87" s="21" t="str">
        <f t="shared" si="7"/>
        <v>MEDIUM PRICE</v>
      </c>
    </row>
    <row r="88" spans="1:10" x14ac:dyDescent="0.35">
      <c r="A88" t="s">
        <v>258</v>
      </c>
      <c r="B88" s="11">
        <v>274</v>
      </c>
      <c r="C88" s="11">
        <v>537</v>
      </c>
      <c r="D88" s="11">
        <f t="shared" si="4"/>
        <v>263</v>
      </c>
      <c r="E88" s="12">
        <v>0.49</v>
      </c>
      <c r="F88" s="12" t="str">
        <f t="shared" si="5"/>
        <v>HIGH DISCOUNT</v>
      </c>
      <c r="G88" s="10"/>
      <c r="H88" s="13"/>
      <c r="I88" s="10" t="str">
        <f t="shared" si="6"/>
        <v>NOT PROVIDED</v>
      </c>
      <c r="J88" s="21" t="str">
        <f t="shared" si="7"/>
        <v>LOW PRICE</v>
      </c>
    </row>
    <row r="89" spans="1:10" x14ac:dyDescent="0.35">
      <c r="A89" t="s">
        <v>261</v>
      </c>
      <c r="B89" s="11">
        <v>799</v>
      </c>
      <c r="C89" s="11">
        <v>900</v>
      </c>
      <c r="D89" s="11">
        <f t="shared" si="4"/>
        <v>101</v>
      </c>
      <c r="E89" s="12">
        <v>0.11</v>
      </c>
      <c r="F89" s="12" t="str">
        <f t="shared" si="5"/>
        <v>LOW DISCOUNT</v>
      </c>
      <c r="G89" s="10"/>
      <c r="H89" s="13"/>
      <c r="I89" s="10" t="str">
        <f t="shared" si="6"/>
        <v>NOT PROVIDED</v>
      </c>
      <c r="J89" s="21" t="str">
        <f t="shared" si="7"/>
        <v>LOW PRICE</v>
      </c>
    </row>
    <row r="90" spans="1:10" x14ac:dyDescent="0.35">
      <c r="A90" t="s">
        <v>175</v>
      </c>
      <c r="B90" s="11">
        <v>657</v>
      </c>
      <c r="C90" s="11">
        <v>1288</v>
      </c>
      <c r="D90" s="11">
        <f t="shared" si="4"/>
        <v>631</v>
      </c>
      <c r="E90" s="12">
        <v>0.49</v>
      </c>
      <c r="F90" s="12" t="str">
        <f t="shared" si="5"/>
        <v>HIGH DISCOUNT</v>
      </c>
      <c r="G90" s="10"/>
      <c r="H90" s="13"/>
      <c r="I90" s="10" t="str">
        <f t="shared" si="6"/>
        <v>NOT PROVIDED</v>
      </c>
      <c r="J90" s="21" t="str">
        <f t="shared" si="7"/>
        <v>LOW PRICE</v>
      </c>
    </row>
    <row r="91" spans="1:10" x14ac:dyDescent="0.35">
      <c r="A91" t="s">
        <v>264</v>
      </c>
      <c r="B91" s="11">
        <v>1468</v>
      </c>
      <c r="C91" s="11">
        <v>1699</v>
      </c>
      <c r="D91" s="11">
        <f t="shared" si="4"/>
        <v>231</v>
      </c>
      <c r="E91" s="12">
        <v>0.14000000000000001</v>
      </c>
      <c r="F91" s="12" t="str">
        <f t="shared" si="5"/>
        <v>LOW DISCOUNT</v>
      </c>
      <c r="G91" s="10"/>
      <c r="H91" s="13"/>
      <c r="I91" s="10" t="str">
        <f t="shared" si="6"/>
        <v>NOT PROVIDED</v>
      </c>
      <c r="J91" s="21" t="str">
        <f t="shared" si="7"/>
        <v>MEDIUM PRICE</v>
      </c>
    </row>
    <row r="92" spans="1:10" x14ac:dyDescent="0.35">
      <c r="A92" t="s">
        <v>266</v>
      </c>
      <c r="B92" s="11">
        <v>630</v>
      </c>
      <c r="C92" s="11">
        <v>1100</v>
      </c>
      <c r="D92" s="11">
        <f t="shared" si="4"/>
        <v>470</v>
      </c>
      <c r="E92" s="12">
        <v>0.43</v>
      </c>
      <c r="F92" s="12" t="str">
        <f t="shared" si="5"/>
        <v>HIGH DISCOUNT</v>
      </c>
      <c r="G92" s="10"/>
      <c r="H92" s="13"/>
      <c r="I92" s="10" t="str">
        <f t="shared" si="6"/>
        <v>NOT PROVIDED</v>
      </c>
      <c r="J92" s="21" t="str">
        <f t="shared" si="7"/>
        <v>LOW PRICE</v>
      </c>
    </row>
    <row r="93" spans="1:10" x14ac:dyDescent="0.35">
      <c r="A93" t="s">
        <v>269</v>
      </c>
      <c r="B93" s="11">
        <v>850</v>
      </c>
      <c r="C93" s="11">
        <v>1700</v>
      </c>
      <c r="D93" s="11">
        <f t="shared" si="4"/>
        <v>850</v>
      </c>
      <c r="E93" s="12">
        <v>0.5</v>
      </c>
      <c r="F93" s="12" t="str">
        <f t="shared" si="5"/>
        <v>HIGH DISCOUNT</v>
      </c>
      <c r="G93" s="10"/>
      <c r="H93" s="13"/>
      <c r="I93" s="10" t="str">
        <f t="shared" si="6"/>
        <v>NOT PROVIDED</v>
      </c>
      <c r="J93" s="21" t="str">
        <f t="shared" si="7"/>
        <v>LOW PRICE</v>
      </c>
    </row>
    <row r="94" spans="1:10" x14ac:dyDescent="0.35">
      <c r="A94" t="s">
        <v>272</v>
      </c>
      <c r="B94" s="11">
        <v>1300</v>
      </c>
      <c r="C94" s="11">
        <v>2500</v>
      </c>
      <c r="D94" s="11">
        <f t="shared" si="4"/>
        <v>1200</v>
      </c>
      <c r="E94" s="12">
        <v>0.48</v>
      </c>
      <c r="F94" s="12" t="str">
        <f t="shared" si="5"/>
        <v>HIGH DISCOUNT</v>
      </c>
      <c r="G94" s="10"/>
      <c r="H94" s="13"/>
      <c r="I94" s="10" t="str">
        <f t="shared" si="6"/>
        <v>NOT PROVIDED</v>
      </c>
      <c r="J94" s="21" t="str">
        <f t="shared" si="7"/>
        <v>MEDIUM PRICE</v>
      </c>
    </row>
    <row r="95" spans="1:10" x14ac:dyDescent="0.35">
      <c r="A95" t="s">
        <v>274</v>
      </c>
      <c r="B95" s="11">
        <v>105</v>
      </c>
      <c r="C95" s="11">
        <v>200</v>
      </c>
      <c r="D95" s="11">
        <f t="shared" si="4"/>
        <v>95</v>
      </c>
      <c r="E95" s="12">
        <v>0.48</v>
      </c>
      <c r="F95" s="12" t="str">
        <f t="shared" si="5"/>
        <v>HIGH DISCOUNT</v>
      </c>
      <c r="G95" s="10"/>
      <c r="H95" s="13"/>
      <c r="I95" s="10" t="str">
        <f t="shared" si="6"/>
        <v>NOT PROVIDED</v>
      </c>
      <c r="J95" s="21" t="str">
        <f t="shared" si="7"/>
        <v>LOW PRICE</v>
      </c>
    </row>
    <row r="96" spans="1:10" x14ac:dyDescent="0.35">
      <c r="A96" t="s">
        <v>277</v>
      </c>
      <c r="B96" s="11">
        <v>899</v>
      </c>
      <c r="C96" s="11">
        <v>1699</v>
      </c>
      <c r="D96" s="11">
        <f t="shared" si="4"/>
        <v>800</v>
      </c>
      <c r="E96" s="12">
        <v>0.47</v>
      </c>
      <c r="F96" s="12" t="str">
        <f t="shared" si="5"/>
        <v>HIGH DISCOUNT</v>
      </c>
      <c r="G96" s="10"/>
      <c r="H96" s="13"/>
      <c r="I96" s="10" t="str">
        <f t="shared" si="6"/>
        <v>NOT PROVIDED</v>
      </c>
      <c r="J96" s="21" t="str">
        <f t="shared" si="7"/>
        <v>LOW PRICE</v>
      </c>
    </row>
    <row r="97" spans="1:10" x14ac:dyDescent="0.35">
      <c r="A97" t="s">
        <v>278</v>
      </c>
      <c r="B97" s="11">
        <v>1200</v>
      </c>
      <c r="C97" s="11">
        <v>2400</v>
      </c>
      <c r="D97" s="11">
        <f t="shared" si="4"/>
        <v>1200</v>
      </c>
      <c r="E97" s="12">
        <v>0.5</v>
      </c>
      <c r="F97" s="12" t="str">
        <f t="shared" si="5"/>
        <v>HIGH DISCOUNT</v>
      </c>
      <c r="G97" s="10"/>
      <c r="H97" s="13"/>
      <c r="I97" s="10" t="str">
        <f t="shared" si="6"/>
        <v>NOT PROVIDED</v>
      </c>
      <c r="J97" s="21" t="str">
        <f t="shared" si="7"/>
        <v>MEDIUM PRICE</v>
      </c>
    </row>
    <row r="98" spans="1:10" x14ac:dyDescent="0.35">
      <c r="A98" t="s">
        <v>280</v>
      </c>
      <c r="B98" s="11">
        <v>1526</v>
      </c>
      <c r="C98" s="11">
        <v>1660</v>
      </c>
      <c r="D98" s="11">
        <f t="shared" si="4"/>
        <v>134</v>
      </c>
      <c r="E98" s="12">
        <v>0.08</v>
      </c>
      <c r="F98" s="12" t="str">
        <f t="shared" si="5"/>
        <v>LOW DISCOUNT</v>
      </c>
      <c r="G98" s="10"/>
      <c r="H98" s="13"/>
      <c r="I98" s="10" t="str">
        <f t="shared" si="6"/>
        <v>NOT PROVIDED</v>
      </c>
      <c r="J98" s="21" t="str">
        <f t="shared" si="7"/>
        <v>MEDIUM PRICE</v>
      </c>
    </row>
    <row r="99" spans="1:10" x14ac:dyDescent="0.35">
      <c r="A99" t="s">
        <v>282</v>
      </c>
      <c r="B99" s="11">
        <v>1462</v>
      </c>
      <c r="C99" s="11">
        <v>1499</v>
      </c>
      <c r="D99" s="11">
        <f t="shared" si="4"/>
        <v>37</v>
      </c>
      <c r="E99" s="12">
        <v>0.02</v>
      </c>
      <c r="F99" s="12" t="str">
        <f t="shared" si="5"/>
        <v>LOW DISCOUNT</v>
      </c>
      <c r="G99" s="10"/>
      <c r="H99" s="13"/>
      <c r="I99" s="10" t="str">
        <f t="shared" si="6"/>
        <v>NOT PROVIDED</v>
      </c>
      <c r="J99" s="21" t="str">
        <f t="shared" si="7"/>
        <v>MEDIUM PRICE</v>
      </c>
    </row>
    <row r="100" spans="1:10" x14ac:dyDescent="0.35">
      <c r="A100" t="s">
        <v>284</v>
      </c>
      <c r="B100" s="11">
        <v>248</v>
      </c>
      <c r="C100" s="11">
        <v>486</v>
      </c>
      <c r="D100" s="11">
        <f t="shared" si="4"/>
        <v>238</v>
      </c>
      <c r="E100" s="12">
        <v>0.49</v>
      </c>
      <c r="F100" s="12" t="str">
        <f t="shared" si="5"/>
        <v>HIGH DISCOUNT</v>
      </c>
      <c r="G100" s="10"/>
      <c r="H100" s="13"/>
      <c r="I100" s="10" t="str">
        <f t="shared" si="6"/>
        <v>NOT PROVIDED</v>
      </c>
      <c r="J100" s="21" t="str">
        <f t="shared" si="7"/>
        <v>LOW PRICE</v>
      </c>
    </row>
    <row r="101" spans="1:10" x14ac:dyDescent="0.35">
      <c r="A101" t="s">
        <v>287</v>
      </c>
      <c r="B101" s="11">
        <v>3546</v>
      </c>
      <c r="C101" s="11">
        <v>3699</v>
      </c>
      <c r="D101" s="11">
        <f t="shared" si="4"/>
        <v>153</v>
      </c>
      <c r="E101" s="12">
        <v>0.04</v>
      </c>
      <c r="F101" s="12" t="str">
        <f t="shared" si="5"/>
        <v>LOW DISCOUNT</v>
      </c>
      <c r="G101" s="10"/>
      <c r="H101" s="13"/>
      <c r="I101" s="10" t="str">
        <f t="shared" si="6"/>
        <v>NOT PROVIDED</v>
      </c>
      <c r="J101" s="21" t="str">
        <f t="shared" si="7"/>
        <v>HIGH PRICE</v>
      </c>
    </row>
    <row r="102" spans="1:10" x14ac:dyDescent="0.35">
      <c r="A102" t="s">
        <v>289</v>
      </c>
      <c r="B102" s="11">
        <v>525</v>
      </c>
      <c r="C102" s="11">
        <v>1029</v>
      </c>
      <c r="D102" s="11">
        <f t="shared" si="4"/>
        <v>504</v>
      </c>
      <c r="E102" s="12">
        <v>0.49</v>
      </c>
      <c r="F102" s="12" t="str">
        <f t="shared" si="5"/>
        <v>HIGH DISCOUNT</v>
      </c>
      <c r="G102" s="10"/>
      <c r="H102" s="13"/>
      <c r="I102" s="10" t="str">
        <f t="shared" si="6"/>
        <v>NOT PROVIDED</v>
      </c>
      <c r="J102" s="21" t="str">
        <f t="shared" si="7"/>
        <v>LOW PRICE</v>
      </c>
    </row>
    <row r="103" spans="1:10" x14ac:dyDescent="0.35">
      <c r="A103" t="s">
        <v>292</v>
      </c>
      <c r="B103" s="11">
        <v>1080</v>
      </c>
      <c r="C103" s="11">
        <v>1874</v>
      </c>
      <c r="D103" s="11">
        <f t="shared" si="4"/>
        <v>794</v>
      </c>
      <c r="E103" s="12">
        <v>0.42</v>
      </c>
      <c r="F103" s="12" t="str">
        <f t="shared" si="5"/>
        <v>HIGH DISCOUNT</v>
      </c>
      <c r="G103" s="10"/>
      <c r="H103" s="13"/>
      <c r="I103" s="10" t="str">
        <f t="shared" si="6"/>
        <v>NOT PROVIDED</v>
      </c>
      <c r="J103" s="21" t="str">
        <f t="shared" si="7"/>
        <v>MEDIUM PRICE</v>
      </c>
    </row>
    <row r="104" spans="1:10" x14ac:dyDescent="0.35">
      <c r="A104" t="s">
        <v>295</v>
      </c>
      <c r="B104" s="11">
        <v>3640</v>
      </c>
      <c r="C104" s="11">
        <v>4588</v>
      </c>
      <c r="D104" s="11">
        <f t="shared" si="4"/>
        <v>948</v>
      </c>
      <c r="E104" s="12">
        <v>0.21</v>
      </c>
      <c r="F104" s="12" t="str">
        <f t="shared" si="5"/>
        <v>MEDIUM DISCOUNT</v>
      </c>
      <c r="G104" s="10">
        <v>1</v>
      </c>
      <c r="H104" s="13">
        <v>5</v>
      </c>
      <c r="I104" s="10" t="str">
        <f t="shared" si="6"/>
        <v>EXCELLENT</v>
      </c>
      <c r="J104" s="21" t="str">
        <f t="shared" si="7"/>
        <v>HIGH PRICE</v>
      </c>
    </row>
    <row r="105" spans="1:10" x14ac:dyDescent="0.35">
      <c r="A105" t="s">
        <v>298</v>
      </c>
      <c r="B105" s="11">
        <v>1420</v>
      </c>
      <c r="C105" s="11">
        <v>2420</v>
      </c>
      <c r="D105" s="11">
        <f t="shared" si="4"/>
        <v>1000</v>
      </c>
      <c r="E105" s="12">
        <v>0.41</v>
      </c>
      <c r="F105" s="12" t="str">
        <f t="shared" si="5"/>
        <v>HIGH DISCOUNT</v>
      </c>
      <c r="G105" s="10"/>
      <c r="H105" s="13"/>
      <c r="I105" s="10" t="str">
        <f t="shared" si="6"/>
        <v>NOT PROVIDED</v>
      </c>
      <c r="J105" s="21" t="str">
        <f t="shared" si="7"/>
        <v>MEDIUM PRICE</v>
      </c>
    </row>
    <row r="106" spans="1:10" x14ac:dyDescent="0.35">
      <c r="A106" t="s">
        <v>301</v>
      </c>
      <c r="B106" s="11">
        <v>1875</v>
      </c>
      <c r="C106" s="11">
        <v>1899</v>
      </c>
      <c r="D106" s="11">
        <f t="shared" si="4"/>
        <v>24</v>
      </c>
      <c r="E106" s="12">
        <v>0.01</v>
      </c>
      <c r="F106" s="12" t="str">
        <f t="shared" si="5"/>
        <v>LOW DISCOUNT</v>
      </c>
      <c r="G106" s="10"/>
      <c r="H106" s="13"/>
      <c r="I106" s="10" t="str">
        <f t="shared" si="6"/>
        <v>NOT PROVIDED</v>
      </c>
      <c r="J106" s="21" t="str">
        <f t="shared" si="7"/>
        <v>MEDIUM PRICE</v>
      </c>
    </row>
    <row r="107" spans="1:10" x14ac:dyDescent="0.35">
      <c r="A107" t="s">
        <v>304</v>
      </c>
      <c r="B107" s="11">
        <v>198</v>
      </c>
      <c r="C107" s="11">
        <v>260</v>
      </c>
      <c r="D107" s="11">
        <f t="shared" si="4"/>
        <v>62</v>
      </c>
      <c r="E107" s="12">
        <v>0.24</v>
      </c>
      <c r="F107" s="12" t="str">
        <f t="shared" si="5"/>
        <v>MEDIUM DISCOUNT</v>
      </c>
      <c r="G107" s="10"/>
      <c r="H107" s="13"/>
      <c r="I107" s="10" t="str">
        <f t="shared" si="6"/>
        <v>NOT PROVIDED</v>
      </c>
      <c r="J107" s="21" t="str">
        <f t="shared" si="7"/>
        <v>LOW PRICE</v>
      </c>
    </row>
    <row r="108" spans="1:10" x14ac:dyDescent="0.35">
      <c r="A108" t="s">
        <v>307</v>
      </c>
      <c r="B108" s="11">
        <v>1150</v>
      </c>
      <c r="C108" s="11">
        <v>1737</v>
      </c>
      <c r="D108" s="11">
        <f t="shared" si="4"/>
        <v>587</v>
      </c>
      <c r="E108" s="12">
        <v>0.34</v>
      </c>
      <c r="F108" s="12" t="str">
        <f t="shared" si="5"/>
        <v>MEDIUM DISCOUNT</v>
      </c>
      <c r="G108" s="10"/>
      <c r="H108" s="13"/>
      <c r="I108" s="10" t="str">
        <f t="shared" si="6"/>
        <v>NOT PROVIDED</v>
      </c>
      <c r="J108" s="21" t="str">
        <f t="shared" si="7"/>
        <v>MEDIUM PRICE</v>
      </c>
    </row>
    <row r="109" spans="1:10" x14ac:dyDescent="0.35">
      <c r="A109" t="s">
        <v>310</v>
      </c>
      <c r="B109" s="11">
        <v>1190</v>
      </c>
      <c r="C109" s="11">
        <v>1810</v>
      </c>
      <c r="D109" s="11">
        <f t="shared" si="4"/>
        <v>620</v>
      </c>
      <c r="E109" s="12">
        <v>0.34</v>
      </c>
      <c r="F109" s="12" t="str">
        <f t="shared" si="5"/>
        <v>MEDIUM DISCOUNT</v>
      </c>
      <c r="G109" s="10"/>
      <c r="H109" s="13"/>
      <c r="I109" s="10" t="str">
        <f t="shared" si="6"/>
        <v>NOT PROVIDED</v>
      </c>
      <c r="J109" s="21" t="str">
        <f t="shared" si="7"/>
        <v>MEDIUM PRICE</v>
      </c>
    </row>
    <row r="110" spans="1:10" x14ac:dyDescent="0.35">
      <c r="A110" t="s">
        <v>312</v>
      </c>
      <c r="B110" s="11">
        <v>1658</v>
      </c>
      <c r="C110" s="11">
        <v>1699</v>
      </c>
      <c r="D110" s="11">
        <f t="shared" si="4"/>
        <v>41</v>
      </c>
      <c r="E110" s="12">
        <v>0.02</v>
      </c>
      <c r="F110" s="12" t="str">
        <f t="shared" si="5"/>
        <v>LOW DISCOUNT</v>
      </c>
      <c r="G110" s="10"/>
      <c r="H110" s="13"/>
      <c r="I110" s="10" t="str">
        <f t="shared" si="6"/>
        <v>NOT PROVIDED</v>
      </c>
      <c r="J110" s="21" t="str">
        <f t="shared" si="7"/>
        <v>MEDIUM PRICE</v>
      </c>
    </row>
    <row r="111" spans="1:10" x14ac:dyDescent="0.35">
      <c r="A111" t="s">
        <v>314</v>
      </c>
      <c r="B111" s="11">
        <v>1768</v>
      </c>
      <c r="C111" s="11">
        <v>1799</v>
      </c>
      <c r="D111" s="11">
        <f t="shared" si="4"/>
        <v>31</v>
      </c>
      <c r="E111" s="12">
        <v>0.02</v>
      </c>
      <c r="F111" s="12" t="str">
        <f t="shared" si="5"/>
        <v>LOW DISCOUNT</v>
      </c>
      <c r="G111" s="10"/>
      <c r="H111" s="13"/>
      <c r="I111" s="10" t="str">
        <f t="shared" si="6"/>
        <v>NOT PROVIDED</v>
      </c>
      <c r="J111" s="21" t="str">
        <f t="shared" si="7"/>
        <v>MEDIUM PRICE</v>
      </c>
    </row>
    <row r="112" spans="1:10" x14ac:dyDescent="0.35">
      <c r="A112" t="s">
        <v>316</v>
      </c>
      <c r="B112" s="11">
        <v>199</v>
      </c>
      <c r="C112" s="11">
        <v>553</v>
      </c>
      <c r="D112" s="11">
        <f t="shared" si="4"/>
        <v>354</v>
      </c>
      <c r="E112" s="12">
        <v>0.64</v>
      </c>
      <c r="F112" s="12" t="str">
        <f t="shared" si="5"/>
        <v>HIGH DISCOUNT</v>
      </c>
      <c r="G112" s="10"/>
      <c r="H112" s="13"/>
      <c r="I112" s="10" t="str">
        <f t="shared" si="6"/>
        <v>NOT PROVIDED</v>
      </c>
      <c r="J112" s="21" t="str">
        <f t="shared" si="7"/>
        <v>LOW PRICE</v>
      </c>
    </row>
    <row r="113" spans="1:10" x14ac:dyDescent="0.35">
      <c r="A113" t="s">
        <v>318</v>
      </c>
      <c r="B113" s="11">
        <v>450</v>
      </c>
      <c r="C113" s="11">
        <v>900</v>
      </c>
      <c r="D113" s="11">
        <f t="shared" si="4"/>
        <v>450</v>
      </c>
      <c r="E113" s="12">
        <v>0.5</v>
      </c>
      <c r="F113" s="12" t="str">
        <f t="shared" si="5"/>
        <v>HIGH DISCOUNT</v>
      </c>
      <c r="G113" s="10">
        <v>1</v>
      </c>
      <c r="H113" s="13">
        <v>2</v>
      </c>
      <c r="I113" s="10" t="str">
        <f t="shared" si="6"/>
        <v>POOR</v>
      </c>
      <c r="J113" s="21" t="str">
        <f t="shared" si="7"/>
        <v>LOW PRICE</v>
      </c>
    </row>
    <row r="114" spans="1:10" x14ac:dyDescent="0.35">
      <c r="A114" t="s">
        <v>320</v>
      </c>
      <c r="B114" s="11">
        <v>169</v>
      </c>
      <c r="C114" s="11">
        <v>320</v>
      </c>
      <c r="D114" s="11">
        <f t="shared" si="4"/>
        <v>151</v>
      </c>
      <c r="E114" s="12">
        <v>0.47</v>
      </c>
      <c r="F114" s="12" t="str">
        <f t="shared" si="5"/>
        <v>HIGH DISCOUNT</v>
      </c>
      <c r="G114" s="10"/>
      <c r="H114" s="13"/>
      <c r="I114" s="10" t="str">
        <f t="shared" si="6"/>
        <v>NOT PROVIDED</v>
      </c>
      <c r="J114" s="21" t="str">
        <f t="shared" si="7"/>
        <v>LOW PRICE</v>
      </c>
    </row>
    <row r="115" spans="1:10" x14ac:dyDescent="0.35">
      <c r="B115" s="11"/>
      <c r="C115" s="11"/>
      <c r="D115" s="11"/>
      <c r="E115" s="12"/>
      <c r="F115" s="12"/>
      <c r="G115" s="10"/>
      <c r="H115" s="13"/>
      <c r="I115" s="10"/>
      <c r="J115" s="10"/>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E9789-7445-415E-8A8A-3CAA5A4069DE}">
  <dimension ref="A3:A4"/>
  <sheetViews>
    <sheetView workbookViewId="0">
      <selection activeCell="A4" sqref="A4"/>
    </sheetView>
  </sheetViews>
  <sheetFormatPr defaultRowHeight="14.5" x14ac:dyDescent="0.35"/>
  <cols>
    <col min="1" max="1" width="22.36328125" bestFit="1" customWidth="1"/>
    <col min="2" max="2" width="13.54296875" bestFit="1" customWidth="1"/>
  </cols>
  <sheetData>
    <row r="3" spans="1:1" x14ac:dyDescent="0.35">
      <c r="A3" t="s">
        <v>351</v>
      </c>
    </row>
    <row r="4" spans="1:1" x14ac:dyDescent="0.35">
      <c r="A4" s="3">
        <v>626.6548672566372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9C9D6-082A-4877-B572-C2494C9669CC}">
  <dimension ref="A1:C22"/>
  <sheetViews>
    <sheetView topLeftCell="P1" workbookViewId="0">
      <selection activeCell="B6" sqref="B6"/>
    </sheetView>
  </sheetViews>
  <sheetFormatPr defaultRowHeight="14.5" x14ac:dyDescent="0.35"/>
  <cols>
    <col min="1" max="1" width="60.453125" bestFit="1" customWidth="1"/>
    <col min="2" max="2" width="65.453125" bestFit="1" customWidth="1"/>
    <col min="3" max="3" width="61.1796875" bestFit="1" customWidth="1"/>
  </cols>
  <sheetData>
    <row r="1" spans="1:3" ht="18.5" x14ac:dyDescent="0.45">
      <c r="A1" s="15" t="s">
        <v>327</v>
      </c>
    </row>
    <row r="2" spans="1:3" x14ac:dyDescent="0.35">
      <c r="A2" t="s">
        <v>328</v>
      </c>
      <c r="B2" s="16">
        <f>AVERAGE(CLEANED!B1:B114)</f>
        <v>1192.3185840707965</v>
      </c>
    </row>
    <row r="3" spans="1:3" x14ac:dyDescent="0.35">
      <c r="A3" t="s">
        <v>329</v>
      </c>
      <c r="B3" s="16">
        <f>AVERAGE(CLEANED!C1:C114)</f>
        <v>1818.9734513274336</v>
      </c>
    </row>
    <row r="4" spans="1:3" x14ac:dyDescent="0.35">
      <c r="A4" t="s">
        <v>330</v>
      </c>
      <c r="B4" s="17">
        <f t="array" ref="B4">AVERAGE(CLEANED!E1:E114)</f>
        <v>0.36681415929203537</v>
      </c>
    </row>
    <row r="5" spans="1:3" x14ac:dyDescent="0.35">
      <c r="A5" t="s">
        <v>332</v>
      </c>
      <c r="B5" s="16">
        <f>AVERAGE(CLEANED!H1:H24)</f>
        <v>4.4409090909090896</v>
      </c>
    </row>
    <row r="6" spans="1:3" x14ac:dyDescent="0.35">
      <c r="A6" t="s">
        <v>335</v>
      </c>
      <c r="B6" s="16">
        <f>COUNTA(CLEANED!A1:A114)</f>
        <v>114</v>
      </c>
    </row>
    <row r="7" spans="1:3" x14ac:dyDescent="0.35">
      <c r="A7" t="s">
        <v>336</v>
      </c>
      <c r="B7" s="16">
        <f>SUM(CLEANED!G1:G22)</f>
        <v>281</v>
      </c>
    </row>
    <row r="8" spans="1:3" x14ac:dyDescent="0.35">
      <c r="A8" t="s">
        <v>337</v>
      </c>
      <c r="B8" t="str">
        <f>_xlfn.XLOOKUP(MAX(CLEANED!B2:B114),CLEANED!B2:B114,CLEANED!A2:A114)</f>
        <v>32PCS Portable Cordless Drill Set With Cyclic Battery Drive -26 Variable Speed</v>
      </c>
    </row>
    <row r="9" spans="1:3" x14ac:dyDescent="0.35">
      <c r="A9" t="s">
        <v>338</v>
      </c>
      <c r="B9" t="str">
        <f>_xlfn.XLOOKUP(MIN(CLEANED!B2:B114),CLEANED!B2:B114,CLEANED!A2:A114)</f>
        <v>3PCS Single Head Knitting Crochet Sweater Needle Set</v>
      </c>
    </row>
    <row r="12" spans="1:3" x14ac:dyDescent="0.35">
      <c r="A12" s="14" t="s">
        <v>339</v>
      </c>
    </row>
    <row r="13" spans="1:3" x14ac:dyDescent="0.35">
      <c r="A13" t="s">
        <v>340</v>
      </c>
      <c r="B13" s="2">
        <f>CORREL(CLEANED!E2:E114,CLEANED!G2:G114)</f>
        <v>-0.12231526270514742</v>
      </c>
      <c r="C13" t="s">
        <v>346</v>
      </c>
    </row>
    <row r="14" spans="1:3" x14ac:dyDescent="0.35">
      <c r="A14" t="s">
        <v>341</v>
      </c>
      <c r="B14" s="2">
        <f>CORREL(CLEANED!H2:H114,CLEANED!G2:G114)</f>
        <v>5.7209035119876482E-2</v>
      </c>
      <c r="C14" t="s">
        <v>345</v>
      </c>
    </row>
    <row r="15" spans="1:3" x14ac:dyDescent="0.35">
      <c r="A15" t="s">
        <v>342</v>
      </c>
      <c r="B15" s="31"/>
      <c r="C15" t="s">
        <v>348</v>
      </c>
    </row>
    <row r="16" spans="1:3" x14ac:dyDescent="0.35">
      <c r="B16" s="31"/>
    </row>
    <row r="17" spans="1:2" x14ac:dyDescent="0.35">
      <c r="A17" t="s">
        <v>343</v>
      </c>
      <c r="B17" s="18"/>
    </row>
    <row r="18" spans="1:2" x14ac:dyDescent="0.35">
      <c r="A18" t="s">
        <v>344</v>
      </c>
    </row>
    <row r="20" spans="1:2" x14ac:dyDescent="0.35">
      <c r="A20" t="s">
        <v>347</v>
      </c>
      <c r="B20">
        <f>MEDIAN(CLEANED!B2:B114)</f>
        <v>999</v>
      </c>
    </row>
    <row r="21" spans="1:2" x14ac:dyDescent="0.35">
      <c r="A21" t="s">
        <v>349</v>
      </c>
      <c r="B21" s="2">
        <f ca="1">AVERAGEIF(CLEANED!B2:B114,"&gt;999",CLEANED!H2:H22)</f>
        <v>3.9448275862068964</v>
      </c>
    </row>
    <row r="22" spans="1:2" x14ac:dyDescent="0.35">
      <c r="A22" t="s">
        <v>350</v>
      </c>
      <c r="B22" s="2">
        <f ca="1">AVERAGEIF(CLEANED!B2:B114,"&lt;999",CLEANED!H2:H22)</f>
        <v>3.8321428571428569</v>
      </c>
    </row>
  </sheetData>
  <mergeCells count="1">
    <mergeCell ref="B15:B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8AD7D-3D11-4A3D-A877-91277FB74B2A}">
  <dimension ref="A1:J113"/>
  <sheetViews>
    <sheetView topLeftCell="G1" workbookViewId="0">
      <selection activeCell="L4" sqref="L4"/>
    </sheetView>
  </sheetViews>
  <sheetFormatPr defaultRowHeight="14.5" x14ac:dyDescent="0.35"/>
  <cols>
    <col min="1" max="1" width="61" customWidth="1"/>
    <col min="2" max="5" width="4.81640625" bestFit="1" customWidth="1"/>
    <col min="6" max="6" width="17.7265625" bestFit="1" customWidth="1"/>
    <col min="7" max="7" width="2.81640625" bestFit="1" customWidth="1"/>
    <col min="8" max="8" width="3.81640625" bestFit="1" customWidth="1"/>
    <col min="9" max="10" width="13.6328125" bestFit="1" customWidth="1"/>
  </cols>
  <sheetData>
    <row r="1" spans="1:10" x14ac:dyDescent="0.35">
      <c r="A1" s="19" t="str" cm="1">
        <f t="array" ref="A1:J113">_xlfn._xlws.SORT(CLEANED!A2:J114,8,1)</f>
        <v>Wall-mounted Sticker Punch-free Plug Fixer</v>
      </c>
      <c r="B1" s="19">
        <v>450</v>
      </c>
      <c r="C1" s="19">
        <v>900</v>
      </c>
      <c r="D1" s="19">
        <v>450</v>
      </c>
      <c r="E1" s="19">
        <v>0.5</v>
      </c>
      <c r="F1" s="19" t="str">
        <v>HIGH DISCOUNT</v>
      </c>
      <c r="G1" s="19">
        <v>1</v>
      </c>
      <c r="H1" s="19">
        <v>2</v>
      </c>
      <c r="I1" s="19" t="str">
        <v>POOR</v>
      </c>
      <c r="J1" s="19" t="str">
        <v>LOW PRICE</v>
      </c>
    </row>
    <row r="2" spans="1:10" x14ac:dyDescent="0.35">
      <c r="A2" s="19" t="str">
        <v>5-PCS Stainless Steel Cooking Pot Set With Steamed Slices</v>
      </c>
      <c r="B2" s="19">
        <v>2115</v>
      </c>
      <c r="C2" s="19">
        <v>4700</v>
      </c>
      <c r="D2" s="19">
        <v>2585</v>
      </c>
      <c r="E2" s="19">
        <v>0.55000000000000004</v>
      </c>
      <c r="F2" s="19" t="str">
        <v>HIGH DISCOUNT</v>
      </c>
      <c r="G2" s="19">
        <v>13</v>
      </c>
      <c r="H2" s="19">
        <v>2.1</v>
      </c>
      <c r="I2" s="19" t="str">
        <v>POOR</v>
      </c>
      <c r="J2" s="19" t="str">
        <v>HIGH PRICE</v>
      </c>
    </row>
    <row r="3" spans="1:10" x14ac:dyDescent="0.35">
      <c r="A3" s="19" t="str">
        <v>Electric LED UV Mosquito Killer Lamp, Outdoor/Indoor Fly Killer Trap Light -USB</v>
      </c>
      <c r="B3" s="19">
        <v>1570</v>
      </c>
      <c r="C3" s="19">
        <v>2988</v>
      </c>
      <c r="D3" s="19">
        <v>1418</v>
      </c>
      <c r="E3" s="19">
        <v>0.47</v>
      </c>
      <c r="F3" s="19" t="str">
        <v>HIGH DISCOUNT</v>
      </c>
      <c r="G3" s="19">
        <v>7</v>
      </c>
      <c r="H3" s="19">
        <v>2.1</v>
      </c>
      <c r="I3" s="19" t="str">
        <v>POOR</v>
      </c>
      <c r="J3" s="19" t="str">
        <v>MEDIUM PRICE</v>
      </c>
    </row>
    <row r="4" spans="1:10" x14ac:dyDescent="0.35">
      <c r="A4" s="19" t="str">
        <v>Artificial Potted Flowers Room Decorative Flowers (2 Pieces)</v>
      </c>
      <c r="B4" s="19">
        <v>990</v>
      </c>
      <c r="C4" s="19">
        <v>1814</v>
      </c>
      <c r="D4" s="19">
        <v>824</v>
      </c>
      <c r="E4" s="19">
        <v>0.45</v>
      </c>
      <c r="F4" s="19" t="str">
        <v>HIGH DISCOUNT</v>
      </c>
      <c r="G4" s="19">
        <v>6</v>
      </c>
      <c r="H4" s="19">
        <v>2.2000000000000002</v>
      </c>
      <c r="I4" s="19" t="str">
        <v>POOR</v>
      </c>
      <c r="J4" s="19" t="str">
        <v>LOW PRICE</v>
      </c>
    </row>
    <row r="5" spans="1:10" x14ac:dyDescent="0.35">
      <c r="A5" s="19" t="str">
        <v>7-piece Set Of Storage Bags, Travel Storage Bags, Shoe Bags</v>
      </c>
      <c r="B5" s="19">
        <v>968</v>
      </c>
      <c r="C5" s="19">
        <v>1814</v>
      </c>
      <c r="D5" s="19">
        <v>846</v>
      </c>
      <c r="E5" s="19">
        <v>0.47</v>
      </c>
      <c r="F5" s="19" t="str">
        <v>HIGH DISCOUNT</v>
      </c>
      <c r="G5" s="19">
        <v>6</v>
      </c>
      <c r="H5" s="19">
        <v>2.2000000000000002</v>
      </c>
      <c r="I5" s="19" t="str">
        <v>POOR</v>
      </c>
      <c r="J5" s="19" t="str">
        <v>LOW PRICE</v>
      </c>
    </row>
    <row r="6" spans="1:10" x14ac:dyDescent="0.35">
      <c r="A6" t="str">
        <v>380ML USB Rechargeable Portable Small Blenders And Juicers</v>
      </c>
      <c r="B6">
        <v>1000</v>
      </c>
      <c r="C6">
        <v>2000</v>
      </c>
      <c r="D6">
        <v>1000</v>
      </c>
      <c r="E6">
        <v>0.5</v>
      </c>
      <c r="F6" t="str">
        <v>HIGH DISCOUNT</v>
      </c>
      <c r="G6">
        <v>7</v>
      </c>
      <c r="H6">
        <v>2.2999999999999998</v>
      </c>
      <c r="I6" t="str">
        <v>POOR</v>
      </c>
      <c r="J6" t="str">
        <v>MEDIUM PRICE</v>
      </c>
    </row>
    <row r="7" spans="1:10" x14ac:dyDescent="0.35">
      <c r="A7" t="str">
        <v>Watercolour Gold Foil Textured Print Pillow Cover</v>
      </c>
      <c r="B7">
        <v>345</v>
      </c>
      <c r="C7">
        <v>602</v>
      </c>
      <c r="D7">
        <v>257</v>
      </c>
      <c r="E7">
        <v>0.43</v>
      </c>
      <c r="F7" t="str">
        <v>HIGH DISCOUNT</v>
      </c>
      <c r="G7">
        <v>6</v>
      </c>
      <c r="H7">
        <v>2.2999999999999998</v>
      </c>
      <c r="I7" t="str">
        <v>POOR</v>
      </c>
      <c r="J7" t="str">
        <v>LOW PRICE</v>
      </c>
    </row>
    <row r="8" spans="1:10" x14ac:dyDescent="0.35">
      <c r="A8" t="str">
        <v>5 Pieces/set Of Stainless Steel Induction Cooker Pots</v>
      </c>
      <c r="B8">
        <v>2170</v>
      </c>
      <c r="C8">
        <v>2500</v>
      </c>
      <c r="D8">
        <v>330</v>
      </c>
      <c r="E8">
        <v>0.13</v>
      </c>
      <c r="F8" t="str">
        <v>LOW DISCOUNT</v>
      </c>
      <c r="G8">
        <v>6</v>
      </c>
      <c r="H8">
        <v>2.5</v>
      </c>
      <c r="I8" t="str">
        <v>POOR</v>
      </c>
      <c r="J8" t="str">
        <v>HIGH PRICE</v>
      </c>
    </row>
    <row r="9" spans="1:10" x14ac:dyDescent="0.35">
      <c r="A9" t="str">
        <v>Agapeon Toothbrush Holder And Toothpaste Dispenser</v>
      </c>
      <c r="B9">
        <v>382</v>
      </c>
      <c r="C9">
        <v>700</v>
      </c>
      <c r="D9">
        <v>318</v>
      </c>
      <c r="E9">
        <v>0.45</v>
      </c>
      <c r="F9" t="str">
        <v>HIGH DISCOUNT</v>
      </c>
      <c r="G9">
        <v>17</v>
      </c>
      <c r="H9">
        <v>2.6</v>
      </c>
      <c r="I9" t="str">
        <v>POOR</v>
      </c>
      <c r="J9" t="str">
        <v>LOW PRICE</v>
      </c>
    </row>
    <row r="10" spans="1:10" x14ac:dyDescent="0.35">
      <c r="A10" t="str">
        <v>Intelligent  LED Body Sensor Wireless Lighting Night Light USB</v>
      </c>
      <c r="B10">
        <v>325</v>
      </c>
      <c r="C10">
        <v>680</v>
      </c>
      <c r="D10">
        <v>355</v>
      </c>
      <c r="E10">
        <v>0.52</v>
      </c>
      <c r="F10" t="str">
        <v>HIGH DISCOUNT</v>
      </c>
      <c r="G10">
        <v>15</v>
      </c>
      <c r="H10">
        <v>2.7</v>
      </c>
      <c r="I10" t="str">
        <v>POOR</v>
      </c>
      <c r="J10" t="str">
        <v>LOW PRICE</v>
      </c>
    </row>
    <row r="11" spans="1:10" x14ac:dyDescent="0.35">
      <c r="A11" t="str">
        <v>120W Cordless Vacuum Cleaners Handheld Electric Vacuum Cleaner</v>
      </c>
      <c r="B11">
        <v>445</v>
      </c>
      <c r="C11">
        <v>873</v>
      </c>
      <c r="D11">
        <v>428</v>
      </c>
      <c r="E11">
        <v>0.49</v>
      </c>
      <c r="F11" t="str">
        <v>HIGH DISCOUNT</v>
      </c>
      <c r="G11">
        <v>69</v>
      </c>
      <c r="H11">
        <v>2.8</v>
      </c>
      <c r="I11" t="str">
        <v>POOR</v>
      </c>
      <c r="J11" t="str">
        <v>LOW PRICE</v>
      </c>
    </row>
    <row r="12" spans="1:10" x14ac:dyDescent="0.35">
      <c r="A12" t="str">
        <v>VIC Wireless Vacuum Cleaner Dual Use For Home And Car 120W High Power Powerful</v>
      </c>
      <c r="B12">
        <v>1220</v>
      </c>
      <c r="C12">
        <v>1555</v>
      </c>
      <c r="D12">
        <v>335</v>
      </c>
      <c r="E12">
        <v>0.22</v>
      </c>
      <c r="F12" t="str">
        <v>MEDIUM DISCOUNT</v>
      </c>
      <c r="G12">
        <v>16</v>
      </c>
      <c r="H12">
        <v>2.9</v>
      </c>
      <c r="I12" t="str">
        <v>POOR</v>
      </c>
      <c r="J12" t="str">
        <v>MEDIUM PRICE</v>
      </c>
    </row>
    <row r="13" spans="1:10" x14ac:dyDescent="0.35">
      <c r="A13" t="str">
        <v>Mythco 120COB Solar Wall Ligt With Motion Sensor And Remote Control 3 Modes</v>
      </c>
      <c r="B13">
        <v>458</v>
      </c>
      <c r="C13">
        <v>986</v>
      </c>
      <c r="D13">
        <v>528</v>
      </c>
      <c r="E13">
        <v>0.54</v>
      </c>
      <c r="F13" t="str">
        <v>HIGH DISCOUNT</v>
      </c>
      <c r="G13">
        <v>10</v>
      </c>
      <c r="H13">
        <v>3</v>
      </c>
      <c r="I13" t="str">
        <v>AVERAGE</v>
      </c>
      <c r="J13" t="str">
        <v>LOW PRICE</v>
      </c>
    </row>
    <row r="14" spans="1:10" x14ac:dyDescent="0.35">
      <c r="A14" t="str">
        <v>32PCS Portable Cordless Drill Set With Cyclic Battery Drive -26 Variable Speed</v>
      </c>
      <c r="B14">
        <v>3750</v>
      </c>
      <c r="C14">
        <v>6143</v>
      </c>
      <c r="D14">
        <v>2393</v>
      </c>
      <c r="E14">
        <v>0.39</v>
      </c>
      <c r="F14" t="str">
        <v>MEDIUM DISCOUNT</v>
      </c>
      <c r="G14">
        <v>5</v>
      </c>
      <c r="H14">
        <v>3</v>
      </c>
      <c r="I14" t="str">
        <v>AVERAGE</v>
      </c>
      <c r="J14" t="str">
        <v>HIGH PRICE</v>
      </c>
    </row>
    <row r="15" spans="1:10" x14ac:dyDescent="0.35">
      <c r="A15" t="str">
        <v>Large Lazy Inflatable Sofa Chairs PVC Lounger Seat Bag</v>
      </c>
      <c r="B15">
        <v>2300</v>
      </c>
      <c r="C15">
        <v>3240</v>
      </c>
      <c r="D15">
        <v>940</v>
      </c>
      <c r="E15">
        <v>0.28999999999999998</v>
      </c>
      <c r="F15" t="str">
        <v>MEDIUM DISCOUNT</v>
      </c>
      <c r="G15">
        <v>5</v>
      </c>
      <c r="H15">
        <v>3</v>
      </c>
      <c r="I15" t="str">
        <v>AVERAGE</v>
      </c>
      <c r="J15" t="str">
        <v>HIGH PRICE</v>
      </c>
    </row>
    <row r="16" spans="1:10" x14ac:dyDescent="0.35">
      <c r="A16" t="str">
        <v>Wrought Iron Bathroom Shelf Wall Mounted Free Punch Toilet Rack</v>
      </c>
      <c r="B16">
        <v>509</v>
      </c>
      <c r="C16">
        <v>899</v>
      </c>
      <c r="D16">
        <v>390</v>
      </c>
      <c r="E16">
        <v>0.43</v>
      </c>
      <c r="F16" t="str">
        <v>HIGH DISCOUNT</v>
      </c>
      <c r="G16">
        <v>5</v>
      </c>
      <c r="H16">
        <v>3</v>
      </c>
      <c r="I16" t="str">
        <v>AVERAGE</v>
      </c>
      <c r="J16" t="str">
        <v>LOW PRICE</v>
      </c>
    </row>
    <row r="17" spans="1:10" x14ac:dyDescent="0.35">
      <c r="A17" t="str">
        <v>Memory Foam Neck Pillow Cover, With Pillow Core - 50*30cm</v>
      </c>
      <c r="B17">
        <v>1189</v>
      </c>
      <c r="C17">
        <v>2199</v>
      </c>
      <c r="D17">
        <v>1010</v>
      </c>
      <c r="E17">
        <v>0.46</v>
      </c>
      <c r="F17" t="str">
        <v>HIGH DISCOUNT</v>
      </c>
      <c r="G17">
        <v>1</v>
      </c>
      <c r="H17">
        <v>3</v>
      </c>
      <c r="I17" t="str">
        <v>AVERAGE</v>
      </c>
      <c r="J17" t="str">
        <v>MEDIUM PRICE</v>
      </c>
    </row>
    <row r="18" spans="1:10" x14ac:dyDescent="0.35">
      <c r="A18" t="str">
        <v>3PCS Single Head Knitting Crochet Sweater Needle Set</v>
      </c>
      <c r="B18">
        <v>38</v>
      </c>
      <c r="C18">
        <v>80</v>
      </c>
      <c r="D18">
        <v>42</v>
      </c>
      <c r="E18">
        <v>0.53</v>
      </c>
      <c r="F18" t="str">
        <v>HIGH DISCOUNT</v>
      </c>
      <c r="G18">
        <v>13</v>
      </c>
      <c r="H18">
        <v>3.3</v>
      </c>
      <c r="I18" t="str">
        <v>AVERAGE</v>
      </c>
      <c r="J18" t="str">
        <v>LOW PRICE</v>
      </c>
    </row>
    <row r="19" spans="1:10" x14ac:dyDescent="0.35">
      <c r="A19" t="str">
        <v>13 In 1 Home Repair Tools Box Kit Set</v>
      </c>
      <c r="B19">
        <v>1600</v>
      </c>
      <c r="C19">
        <v>2929</v>
      </c>
      <c r="D19">
        <v>1329</v>
      </c>
      <c r="E19">
        <v>0.45</v>
      </c>
      <c r="F19" t="str">
        <v>HIGH DISCOUNT</v>
      </c>
      <c r="G19">
        <v>5</v>
      </c>
      <c r="H19">
        <v>3.8</v>
      </c>
      <c r="I19" t="str">
        <v>AVERAGE</v>
      </c>
      <c r="J19" t="str">
        <v>MEDIUM PRICE</v>
      </c>
    </row>
    <row r="20" spans="1:10" x14ac:dyDescent="0.35">
      <c r="A20" t="str">
        <v>Portable Wardrobe Nonwoven With 3 Hanging Rods And 6 Storage Shelves</v>
      </c>
      <c r="B20">
        <v>2880</v>
      </c>
      <c r="C20">
        <v>3520</v>
      </c>
      <c r="D20">
        <v>640</v>
      </c>
      <c r="E20">
        <v>0.18</v>
      </c>
      <c r="F20" t="str">
        <v>LOW DISCOUNT</v>
      </c>
      <c r="G20">
        <v>12</v>
      </c>
      <c r="H20">
        <v>3.8</v>
      </c>
      <c r="I20" t="str">
        <v>AVERAGE</v>
      </c>
      <c r="J20" t="str">
        <v>HIGH PRICE</v>
      </c>
    </row>
    <row r="21" spans="1:10" x14ac:dyDescent="0.35">
      <c r="A21" t="str">
        <v>12 Litre Black Insulated Lunch Box</v>
      </c>
      <c r="B21">
        <v>1350</v>
      </c>
      <c r="C21">
        <v>1990</v>
      </c>
      <c r="D21">
        <v>640</v>
      </c>
      <c r="E21">
        <v>0.32</v>
      </c>
      <c r="F21" t="str">
        <v>MEDIUM DISCOUNT</v>
      </c>
      <c r="G21">
        <v>13</v>
      </c>
      <c r="H21">
        <v>3.8</v>
      </c>
      <c r="I21" t="str">
        <v>AVERAGE</v>
      </c>
      <c r="J21" t="str">
        <v>MEDIUM PRICE</v>
      </c>
    </row>
    <row r="22" spans="1:10" x14ac:dyDescent="0.35">
      <c r="A22" t="str">
        <v>220V 60W Electric Soldering Iron Kits With Tools, Tips, And Multimeter</v>
      </c>
      <c r="B22">
        <v>2999</v>
      </c>
      <c r="C22">
        <v>3290</v>
      </c>
      <c r="D22">
        <v>291</v>
      </c>
      <c r="E22">
        <v>0.09</v>
      </c>
      <c r="F22" t="str">
        <v>LOW DISCOUNT</v>
      </c>
      <c r="G22">
        <v>15</v>
      </c>
      <c r="H22">
        <v>4</v>
      </c>
      <c r="I22" t="str">
        <v>AVERAGE</v>
      </c>
      <c r="J22" t="str">
        <v>HIGH PRICE</v>
      </c>
    </row>
    <row r="23" spans="1:10" x14ac:dyDescent="0.35">
      <c r="A23" t="str">
        <v>Desk Foldable Fan Adjustable Fan Strong Wind 3 Gear Usb</v>
      </c>
      <c r="B23">
        <v>988</v>
      </c>
      <c r="C23">
        <v>1580</v>
      </c>
      <c r="D23">
        <v>592</v>
      </c>
      <c r="E23">
        <v>0.37</v>
      </c>
      <c r="F23" t="str">
        <v>MEDIUM DISCOUNT</v>
      </c>
      <c r="G23">
        <v>2</v>
      </c>
      <c r="H23">
        <v>4</v>
      </c>
      <c r="I23" t="str">
        <v>AVERAGE</v>
      </c>
      <c r="J23" t="str">
        <v>LOW PRICE</v>
      </c>
    </row>
    <row r="24" spans="1:10" x14ac:dyDescent="0.35">
      <c r="A24" t="str">
        <v>LED Romantic Spaceship Starry Sky Projector,Children's Bedroom Night Light-Blue</v>
      </c>
      <c r="B24">
        <v>880</v>
      </c>
      <c r="C24">
        <v>1350</v>
      </c>
      <c r="D24">
        <v>470</v>
      </c>
      <c r="E24">
        <v>0.35</v>
      </c>
      <c r="F24" t="str">
        <v>MEDIUM DISCOUNT</v>
      </c>
      <c r="G24">
        <v>6</v>
      </c>
      <c r="H24">
        <v>4</v>
      </c>
      <c r="I24" t="str">
        <v>AVERAGE</v>
      </c>
      <c r="J24" t="str">
        <v>LOW PRICE</v>
      </c>
    </row>
    <row r="25" spans="1:10" x14ac:dyDescent="0.35">
      <c r="A25" t="str">
        <v>Household Pineapple Peeler Peeler</v>
      </c>
      <c r="B25">
        <v>330</v>
      </c>
      <c r="C25">
        <v>647</v>
      </c>
      <c r="D25">
        <v>317</v>
      </c>
      <c r="E25">
        <v>0.49</v>
      </c>
      <c r="F25" t="str">
        <v>HIGH DISCOUNT</v>
      </c>
      <c r="G25">
        <v>1</v>
      </c>
      <c r="H25">
        <v>4</v>
      </c>
      <c r="I25" t="str">
        <v>AVERAGE</v>
      </c>
      <c r="J25" t="str">
        <v>LOW PRICE</v>
      </c>
    </row>
    <row r="26" spans="1:10" x14ac:dyDescent="0.35">
      <c r="A26" t="str">
        <v>Metal Decorative Hooks Key Hangers Entryway Wall Hooks Towel Hooks - Home</v>
      </c>
      <c r="B26">
        <v>527</v>
      </c>
      <c r="C26">
        <v>999</v>
      </c>
      <c r="D26">
        <v>472</v>
      </c>
      <c r="E26">
        <v>0.47</v>
      </c>
      <c r="F26" t="str">
        <v>HIGH DISCOUNT</v>
      </c>
      <c r="G26">
        <v>14</v>
      </c>
      <c r="H26">
        <v>4.0999999999999996</v>
      </c>
      <c r="I26" t="str">
        <v>AVERAGE</v>
      </c>
      <c r="J26" t="str">
        <v>LOW PRICE</v>
      </c>
    </row>
    <row r="27" spans="1:10" x14ac:dyDescent="0.35">
      <c r="A27" t="str">
        <v>Genebre 115 In 1 Screwdriver Repairing Tool Set For IPhone Cellphone Hand Tool</v>
      </c>
      <c r="B27">
        <v>799</v>
      </c>
      <c r="C27">
        <v>999</v>
      </c>
      <c r="D27">
        <v>200</v>
      </c>
      <c r="E27">
        <v>0.2</v>
      </c>
      <c r="F27" t="str">
        <v>MEDIUM DISCOUNT</v>
      </c>
      <c r="G27">
        <v>12</v>
      </c>
      <c r="H27">
        <v>4.0999999999999996</v>
      </c>
      <c r="I27" t="str">
        <v>AVERAGE</v>
      </c>
      <c r="J27" t="str">
        <v>LOW PRICE</v>
      </c>
    </row>
    <row r="28" spans="1:10" x14ac:dyDescent="0.35">
      <c r="A28" t="str">
        <v>52 Pieces Cake Decorating Tool Set Gift Kit Baking Supplies</v>
      </c>
      <c r="B28">
        <v>1758</v>
      </c>
      <c r="C28">
        <v>2499</v>
      </c>
      <c r="D28">
        <v>741</v>
      </c>
      <c r="E28">
        <v>0.3</v>
      </c>
      <c r="F28" t="str">
        <v>MEDIUM DISCOUNT</v>
      </c>
      <c r="G28">
        <v>20</v>
      </c>
      <c r="H28">
        <v>4.0999999999999996</v>
      </c>
      <c r="I28" t="str">
        <v>AVERAGE</v>
      </c>
      <c r="J28" t="str">
        <v>MEDIUM PRICE</v>
      </c>
    </row>
    <row r="29" spans="1:10" x14ac:dyDescent="0.35">
      <c r="A29" t="str">
        <v>Multifunction Laser Level With Adjustment Tripod</v>
      </c>
      <c r="B29">
        <v>1680</v>
      </c>
      <c r="C29">
        <v>2499</v>
      </c>
      <c r="D29">
        <v>819</v>
      </c>
      <c r="E29">
        <v>0.33</v>
      </c>
      <c r="F29" t="str">
        <v>MEDIUM DISCOUNT</v>
      </c>
      <c r="G29">
        <v>9</v>
      </c>
      <c r="H29">
        <v>4.2</v>
      </c>
      <c r="I29" t="str">
        <v>AVERAGE</v>
      </c>
      <c r="J29" t="str">
        <v>MEDIUM PRICE</v>
      </c>
    </row>
    <row r="30" spans="1:10" x14ac:dyDescent="0.35">
      <c r="A30" t="str">
        <v>LASA 3 Tier Bamboo Shoe Bench Storage Shelf</v>
      </c>
      <c r="B30">
        <v>2048</v>
      </c>
      <c r="C30">
        <v>4500</v>
      </c>
      <c r="D30">
        <v>2452</v>
      </c>
      <c r="E30">
        <v>0.54</v>
      </c>
      <c r="F30" t="str">
        <v>HIGH DISCOUNT</v>
      </c>
      <c r="G30">
        <v>7</v>
      </c>
      <c r="H30">
        <v>4.3</v>
      </c>
      <c r="I30" t="str">
        <v>AVERAGE</v>
      </c>
      <c r="J30" t="str">
        <v>HIGH PRICE</v>
      </c>
    </row>
    <row r="31" spans="1:10" x14ac:dyDescent="0.35">
      <c r="A31" t="str">
        <v>Exfoliate And Exfoliate Face Towel - Black</v>
      </c>
      <c r="B31">
        <v>185</v>
      </c>
      <c r="C31">
        <v>382</v>
      </c>
      <c r="D31">
        <v>197</v>
      </c>
      <c r="E31">
        <v>0.52</v>
      </c>
      <c r="F31" t="str">
        <v>HIGH DISCOUNT</v>
      </c>
      <c r="G31">
        <v>9</v>
      </c>
      <c r="H31">
        <v>4.3</v>
      </c>
      <c r="I31" t="str">
        <v>AVERAGE</v>
      </c>
      <c r="J31" t="str">
        <v>LOW PRICE</v>
      </c>
    </row>
    <row r="32" spans="1:10" x14ac:dyDescent="0.35">
      <c r="A32" t="str">
        <v>LED Eye Protection  Desk Lamp , Study, Reading, USB Fan - Double Pen Holder</v>
      </c>
      <c r="B32">
        <v>1820</v>
      </c>
      <c r="C32">
        <v>3490</v>
      </c>
      <c r="D32">
        <v>1670</v>
      </c>
      <c r="E32">
        <v>0.48</v>
      </c>
      <c r="F32" t="str">
        <v>HIGH DISCOUNT</v>
      </c>
      <c r="G32">
        <v>9</v>
      </c>
      <c r="H32">
        <v>4.3</v>
      </c>
      <c r="I32" t="str">
        <v>AVERAGE</v>
      </c>
      <c r="J32" t="str">
        <v>MEDIUM PRICE</v>
      </c>
    </row>
    <row r="33" spans="1:10" x14ac:dyDescent="0.35">
      <c r="A33" t="str">
        <v>Punch-free Great Load Bearing Bathroom Storage Rack Wall Shelf-White</v>
      </c>
      <c r="B33">
        <v>389</v>
      </c>
      <c r="C33">
        <v>656</v>
      </c>
      <c r="D33">
        <v>267</v>
      </c>
      <c r="E33">
        <v>0.41</v>
      </c>
      <c r="F33" t="str">
        <v>HIGH DISCOUNT</v>
      </c>
      <c r="G33">
        <v>36</v>
      </c>
      <c r="H33">
        <v>4.3</v>
      </c>
      <c r="I33" t="str">
        <v>AVERAGE</v>
      </c>
      <c r="J33" t="str">
        <v>LOW PRICE</v>
      </c>
    </row>
    <row r="34" spans="1:10" x14ac:dyDescent="0.35">
      <c r="A34" t="str">
        <v>Foldable Overbed Table/Desk</v>
      </c>
      <c r="B34">
        <v>1650</v>
      </c>
      <c r="C34">
        <v>2150</v>
      </c>
      <c r="D34">
        <v>500</v>
      </c>
      <c r="E34">
        <v>0.23</v>
      </c>
      <c r="F34" t="str">
        <v>MEDIUM DISCOUNT</v>
      </c>
      <c r="G34">
        <v>14</v>
      </c>
      <c r="H34">
        <v>4.4000000000000004</v>
      </c>
      <c r="I34" t="str">
        <v>AVERAGE</v>
      </c>
      <c r="J34" t="str">
        <v>MEDIUM PRICE</v>
      </c>
    </row>
    <row r="35" spans="1:10" x14ac:dyDescent="0.35">
      <c r="A35" t="str">
        <v>115  Piece Set Of Multifunctional Precision Screwdrivers</v>
      </c>
      <c r="B35">
        <v>950</v>
      </c>
      <c r="C35">
        <v>1525</v>
      </c>
      <c r="D35">
        <v>575</v>
      </c>
      <c r="E35">
        <v>0.38</v>
      </c>
      <c r="F35" t="str">
        <v>MEDIUM DISCOUNT</v>
      </c>
      <c r="G35">
        <v>2</v>
      </c>
      <c r="H35">
        <v>4.5</v>
      </c>
      <c r="I35" t="str">
        <v>EXCELLENT</v>
      </c>
      <c r="J35" t="str">
        <v>LOW PRICE</v>
      </c>
    </row>
    <row r="36" spans="1:10" x14ac:dyDescent="0.35">
      <c r="A36" t="str">
        <v>LASA Digital Thermometer And Hydrometer</v>
      </c>
      <c r="B36">
        <v>501</v>
      </c>
      <c r="C36">
        <v>860</v>
      </c>
      <c r="D36">
        <v>359</v>
      </c>
      <c r="E36">
        <v>0.42</v>
      </c>
      <c r="F36" t="str">
        <v>HIGH DISCOUNT</v>
      </c>
      <c r="G36">
        <v>6</v>
      </c>
      <c r="H36">
        <v>4.5</v>
      </c>
      <c r="I36" t="str">
        <v>EXCELLENT</v>
      </c>
      <c r="J36" t="str">
        <v>LOW PRICE</v>
      </c>
    </row>
    <row r="37" spans="1:10" x14ac:dyDescent="0.35">
      <c r="A37" t="str">
        <v>53 Pieces/Set Yarn Knitting Crochet Hooks With Bag - Pansies</v>
      </c>
      <c r="B37">
        <v>1980</v>
      </c>
      <c r="C37">
        <v>2699</v>
      </c>
      <c r="D37">
        <v>719</v>
      </c>
      <c r="E37">
        <v>0.27</v>
      </c>
      <c r="F37" t="str">
        <v>MEDIUM DISCOUNT</v>
      </c>
      <c r="G37">
        <v>32</v>
      </c>
      <c r="H37">
        <v>4.5</v>
      </c>
      <c r="I37" t="str">
        <v>EXCELLENT</v>
      </c>
      <c r="J37" t="str">
        <v>MEDIUM PRICE</v>
      </c>
    </row>
    <row r="38" spans="1:10" x14ac:dyDescent="0.35">
      <c r="A38" t="str">
        <v>1/2/3 Seater Elastic Sofa Cover,Living Room</v>
      </c>
      <c r="B38">
        <v>1620</v>
      </c>
      <c r="C38">
        <v>2200</v>
      </c>
      <c r="D38">
        <v>580</v>
      </c>
      <c r="E38">
        <v>0.26</v>
      </c>
      <c r="F38" t="str">
        <v>MEDIUM DISCOUNT</v>
      </c>
      <c r="G38">
        <v>2</v>
      </c>
      <c r="H38">
        <v>4.5</v>
      </c>
      <c r="I38" t="str">
        <v>EXCELLENT</v>
      </c>
      <c r="J38" t="str">
        <v>MEDIUM PRICE</v>
      </c>
    </row>
    <row r="39" spans="1:10" x14ac:dyDescent="0.35">
      <c r="A39" t="str">
        <v>Portable Mini Cordless Car Vacuum Cleaner - Blue</v>
      </c>
      <c r="B39">
        <v>2199</v>
      </c>
      <c r="C39">
        <v>2923</v>
      </c>
      <c r="D39">
        <v>724</v>
      </c>
      <c r="E39">
        <v>0.25</v>
      </c>
      <c r="F39" t="str">
        <v>MEDIUM DISCOUNT</v>
      </c>
      <c r="G39">
        <v>24</v>
      </c>
      <c r="H39">
        <v>4.5999999999999996</v>
      </c>
      <c r="I39" t="str">
        <v>EXCELLENT</v>
      </c>
      <c r="J39" t="str">
        <v>HIGH PRICE</v>
      </c>
    </row>
    <row r="40" spans="1:10" x14ac:dyDescent="0.35">
      <c r="A40" t="str">
        <v>137 Pieces Cake Decorating Tool Set Baking Supplies</v>
      </c>
      <c r="B40">
        <v>2319</v>
      </c>
      <c r="C40">
        <v>3032</v>
      </c>
      <c r="D40">
        <v>713</v>
      </c>
      <c r="E40">
        <v>0.24</v>
      </c>
      <c r="F40" t="str">
        <v>MEDIUM DISCOUNT</v>
      </c>
      <c r="G40">
        <v>55</v>
      </c>
      <c r="H40">
        <v>4.5999999999999996</v>
      </c>
      <c r="I40" t="str">
        <v>EXCELLENT</v>
      </c>
      <c r="J40" t="str">
        <v>HIGH PRICE</v>
      </c>
    </row>
    <row r="41" spans="1:10" x14ac:dyDescent="0.35">
      <c r="A41" t="str">
        <v>LED Wall Digital Alarm Clock Study Home 12 / 24H Clock Calendar</v>
      </c>
      <c r="B41">
        <v>2999</v>
      </c>
      <c r="C41">
        <v>3699</v>
      </c>
      <c r="D41">
        <v>700</v>
      </c>
      <c r="E41">
        <v>0.19</v>
      </c>
      <c r="F41" t="str">
        <v>LOW DISCOUNT</v>
      </c>
      <c r="G41">
        <v>5</v>
      </c>
      <c r="H41">
        <v>4.5999999999999996</v>
      </c>
      <c r="I41" t="str">
        <v>EXCELLENT</v>
      </c>
      <c r="J41" t="str">
        <v>HIGH PRICE</v>
      </c>
    </row>
    <row r="42" spans="1:10" x14ac:dyDescent="0.35">
      <c r="A42" t="str">
        <v>3D Waterproof EVA Plastic Shower Curtain 1.8*2Mtrs</v>
      </c>
      <c r="B42">
        <v>998</v>
      </c>
      <c r="C42">
        <v>1966</v>
      </c>
      <c r="D42">
        <v>968</v>
      </c>
      <c r="E42">
        <v>0.49</v>
      </c>
      <c r="F42" t="str">
        <v>HIGH DISCOUNT</v>
      </c>
      <c r="G42">
        <v>44</v>
      </c>
      <c r="H42">
        <v>4.5999999999999996</v>
      </c>
      <c r="I42" t="str">
        <v>EXCELLENT</v>
      </c>
      <c r="J42" t="str">
        <v>LOW PRICE</v>
      </c>
    </row>
    <row r="43" spans="1:10" x14ac:dyDescent="0.35">
      <c r="A43" t="str">
        <v>Electronic Digital Display Vernier Caliper</v>
      </c>
      <c r="B43">
        <v>420</v>
      </c>
      <c r="C43">
        <v>647</v>
      </c>
      <c r="D43">
        <v>227</v>
      </c>
      <c r="E43">
        <v>0.35</v>
      </c>
      <c r="F43" t="str">
        <v>MEDIUM DISCOUNT</v>
      </c>
      <c r="G43">
        <v>49</v>
      </c>
      <c r="H43">
        <v>4.5999999999999996</v>
      </c>
      <c r="I43" t="str">
        <v>EXCELLENT</v>
      </c>
      <c r="J43" t="str">
        <v>LOW PRICE</v>
      </c>
    </row>
    <row r="44" spans="1:10" x14ac:dyDescent="0.35">
      <c r="A44" t="str">
        <v>Weighing Scale Digital Bathroom Body Fat Scale USB-Black</v>
      </c>
      <c r="B44">
        <v>1580</v>
      </c>
      <c r="C44">
        <v>2499</v>
      </c>
      <c r="D44">
        <v>919</v>
      </c>
      <c r="E44">
        <v>0.37</v>
      </c>
      <c r="F44" t="str">
        <v>MEDIUM DISCOUNT</v>
      </c>
      <c r="G44">
        <v>7</v>
      </c>
      <c r="H44">
        <v>4.7</v>
      </c>
      <c r="I44" t="str">
        <v>EXCELLENT</v>
      </c>
      <c r="J44" t="str">
        <v>MEDIUM PRICE</v>
      </c>
    </row>
    <row r="45" spans="1:10" x14ac:dyDescent="0.35">
      <c r="A45" t="str">
        <v>100 Pcs Crochet Hook Tool Set Knitting Hook Set With Box</v>
      </c>
      <c r="B45">
        <v>990</v>
      </c>
      <c r="C45">
        <v>1500</v>
      </c>
      <c r="D45">
        <v>510</v>
      </c>
      <c r="E45">
        <v>0.34</v>
      </c>
      <c r="F45" t="str">
        <v>MEDIUM DISCOUNT</v>
      </c>
      <c r="G45">
        <v>39</v>
      </c>
      <c r="H45">
        <v>4.7</v>
      </c>
      <c r="I45" t="str">
        <v>EXCELLENT</v>
      </c>
      <c r="J45" t="str">
        <v>LOW PRICE</v>
      </c>
    </row>
    <row r="46" spans="1:10" x14ac:dyDescent="0.35">
      <c r="A46" t="str">
        <v>12 Litre Insulated Lunch Box Grey</v>
      </c>
      <c r="B46">
        <v>980</v>
      </c>
      <c r="C46">
        <v>1490</v>
      </c>
      <c r="D46">
        <v>510</v>
      </c>
      <c r="E46">
        <v>0.34</v>
      </c>
      <c r="F46" t="str">
        <v>MEDIUM DISCOUNT</v>
      </c>
      <c r="G46">
        <v>12</v>
      </c>
      <c r="H46">
        <v>4.7</v>
      </c>
      <c r="I46" t="str">
        <v>EXCELLENT</v>
      </c>
      <c r="J46" t="str">
        <v>LOW PRICE</v>
      </c>
    </row>
    <row r="47" spans="1:10" x14ac:dyDescent="0.35">
      <c r="A47" t="str">
        <v>53Pcs/Set Yarn Knitting Crochet Hooks With Bag - Fortune Cat</v>
      </c>
      <c r="B47">
        <v>1940</v>
      </c>
      <c r="C47">
        <v>2650</v>
      </c>
      <c r="D47">
        <v>710</v>
      </c>
      <c r="E47">
        <v>0.27</v>
      </c>
      <c r="F47" t="str">
        <v>MEDIUM DISCOUNT</v>
      </c>
      <c r="G47">
        <v>20</v>
      </c>
      <c r="H47">
        <v>4.7</v>
      </c>
      <c r="I47" t="str">
        <v>EXCELLENT</v>
      </c>
      <c r="J47" t="str">
        <v>MEDIUM PRICE</v>
      </c>
    </row>
    <row r="48" spans="1:10" x14ac:dyDescent="0.35">
      <c r="A48" t="str">
        <v>Portable Home Small Air Humidifier 3-Speed Fan - Green</v>
      </c>
      <c r="B48">
        <v>1740</v>
      </c>
      <c r="C48">
        <v>2356</v>
      </c>
      <c r="D48">
        <v>616</v>
      </c>
      <c r="E48">
        <v>0.26</v>
      </c>
      <c r="F48" t="str">
        <v>MEDIUM DISCOUNT</v>
      </c>
      <c r="G48">
        <v>5</v>
      </c>
      <c r="H48">
        <v>4.8</v>
      </c>
      <c r="I48" t="str">
        <v>EXCELLENT</v>
      </c>
      <c r="J48" t="str">
        <v>MEDIUM PRICE</v>
      </c>
    </row>
    <row r="49" spans="1:10" x14ac:dyDescent="0.35">
      <c r="A49" t="str">
        <v>LASA FOLDING TABLE SERVING STAND</v>
      </c>
      <c r="B49">
        <v>1274</v>
      </c>
      <c r="C49">
        <v>2800</v>
      </c>
      <c r="D49">
        <v>1526</v>
      </c>
      <c r="E49">
        <v>0.55000000000000004</v>
      </c>
      <c r="F49" t="str">
        <v>HIGH DISCOUNT</v>
      </c>
      <c r="G49">
        <v>5</v>
      </c>
      <c r="H49">
        <v>4.8</v>
      </c>
      <c r="I49" t="str">
        <v>EXCELLENT</v>
      </c>
      <c r="J49" t="str">
        <v>MEDIUM PRICE</v>
      </c>
    </row>
    <row r="50" spans="1:10" x14ac:dyDescent="0.35">
      <c r="A50" t="str">
        <v>40cm Gold DIY Acrylic Wall Sticker Clock</v>
      </c>
      <c r="B50">
        <v>552</v>
      </c>
      <c r="C50">
        <v>1035</v>
      </c>
      <c r="D50">
        <v>483</v>
      </c>
      <c r="E50">
        <v>0.47</v>
      </c>
      <c r="F50" t="str">
        <v>HIGH DISCOUNT</v>
      </c>
      <c r="G50">
        <v>12</v>
      </c>
      <c r="H50">
        <v>4.8</v>
      </c>
      <c r="I50" t="str">
        <v>EXCELLENT</v>
      </c>
      <c r="J50" t="str">
        <v>LOW PRICE</v>
      </c>
    </row>
    <row r="51" spans="1:10" x14ac:dyDescent="0.35">
      <c r="A51" t="str">
        <v>Anti-Skid Absorbent Insulation Coaster  For Home Office</v>
      </c>
      <c r="B51">
        <v>332</v>
      </c>
      <c r="C51">
        <v>684</v>
      </c>
      <c r="D51">
        <v>352</v>
      </c>
      <c r="E51">
        <v>0.51</v>
      </c>
      <c r="F51" t="str">
        <v>HIGH DISCOUNT</v>
      </c>
      <c r="G51">
        <v>2</v>
      </c>
      <c r="H51">
        <v>5</v>
      </c>
      <c r="I51" t="str">
        <v>EXCELLENT</v>
      </c>
      <c r="J51" t="str">
        <v>LOW PRICE</v>
      </c>
    </row>
    <row r="52" spans="1:10" x14ac:dyDescent="0.35">
      <c r="A52" t="str">
        <v>Peacock  Throw Pillow Cushion Case For Home Car</v>
      </c>
      <c r="B52">
        <v>195</v>
      </c>
      <c r="C52">
        <v>360</v>
      </c>
      <c r="D52">
        <v>165</v>
      </c>
      <c r="E52">
        <v>0.46</v>
      </c>
      <c r="F52" t="str">
        <v>HIGH DISCOUNT</v>
      </c>
      <c r="G52">
        <v>2</v>
      </c>
      <c r="H52">
        <v>5</v>
      </c>
      <c r="I52" t="str">
        <v>EXCELLENT</v>
      </c>
      <c r="J52" t="str">
        <v>LOW PRICE</v>
      </c>
    </row>
    <row r="53" spans="1:10" x14ac:dyDescent="0.35">
      <c r="A53" t="str">
        <v>LASA Aluminum Folding Truck Hand Cart - 68kg Max</v>
      </c>
      <c r="B53">
        <v>2025</v>
      </c>
      <c r="C53">
        <v>3971</v>
      </c>
      <c r="D53">
        <v>1946</v>
      </c>
      <c r="E53">
        <v>0.49</v>
      </c>
      <c r="F53" t="str">
        <v>HIGH DISCOUNT</v>
      </c>
      <c r="G53">
        <v>3</v>
      </c>
      <c r="H53">
        <v>5</v>
      </c>
      <c r="I53" t="str">
        <v>EXCELLENT</v>
      </c>
      <c r="J53" t="str">
        <v>HIGH PRICE</v>
      </c>
    </row>
    <row r="54" spans="1:10" x14ac:dyDescent="0.35">
      <c r="A54" t="str">
        <v>DIY File Folder, Office Drawer File Holder, Pen Holder, Desktop Storage Rack</v>
      </c>
      <c r="B54">
        <v>1620</v>
      </c>
      <c r="C54">
        <v>2690</v>
      </c>
      <c r="D54">
        <v>1070</v>
      </c>
      <c r="E54">
        <v>0.4</v>
      </c>
      <c r="F54" t="str">
        <v>HIGH DISCOUNT</v>
      </c>
      <c r="G54">
        <v>1</v>
      </c>
      <c r="H54">
        <v>5</v>
      </c>
      <c r="I54" t="str">
        <v>EXCELLENT</v>
      </c>
      <c r="J54" t="str">
        <v>MEDIUM PRICE</v>
      </c>
    </row>
    <row r="55" spans="1:10" x14ac:dyDescent="0.35">
      <c r="A55" t="str">
        <v>Classic Black Cat Cotton Hemp Pillow Case For Home Car</v>
      </c>
      <c r="B55">
        <v>171</v>
      </c>
      <c r="C55">
        <v>360</v>
      </c>
      <c r="D55">
        <v>189</v>
      </c>
      <c r="E55">
        <v>0.53</v>
      </c>
      <c r="F55" t="str">
        <v>HIGH DISCOUNT</v>
      </c>
      <c r="G55">
        <v>2</v>
      </c>
      <c r="H55">
        <v>5</v>
      </c>
      <c r="I55" t="str">
        <v>EXCELLENT</v>
      </c>
      <c r="J55" t="str">
        <v>LOW PRICE</v>
      </c>
    </row>
    <row r="56" spans="1:10" x14ac:dyDescent="0.35">
      <c r="A56" t="str">
        <v>Bedroom Simple Floor Hanging Clothes Rack Single Pole Hat Rack - White</v>
      </c>
      <c r="B56">
        <v>979</v>
      </c>
      <c r="C56">
        <v>1920</v>
      </c>
      <c r="D56">
        <v>941</v>
      </c>
      <c r="E56">
        <v>0.49</v>
      </c>
      <c r="F56" t="str">
        <v>HIGH DISCOUNT</v>
      </c>
      <c r="G56">
        <v>1</v>
      </c>
      <c r="H56">
        <v>5</v>
      </c>
      <c r="I56" t="str">
        <v>EXCELLENT</v>
      </c>
      <c r="J56" t="str">
        <v>LOW PRICE</v>
      </c>
    </row>
    <row r="57" spans="1:10" x14ac:dyDescent="0.35">
      <c r="A57" t="str">
        <v>Konka Healty Electric Kettle, 24-hour Heat Preservation,1.5L,800W, White</v>
      </c>
      <c r="B57">
        <v>3640</v>
      </c>
      <c r="C57">
        <v>4588</v>
      </c>
      <c r="D57">
        <v>948</v>
      </c>
      <c r="E57">
        <v>0.21</v>
      </c>
      <c r="F57" t="str">
        <v>MEDIUM DISCOUNT</v>
      </c>
      <c r="G57">
        <v>1</v>
      </c>
      <c r="H57">
        <v>5</v>
      </c>
      <c r="I57" t="str">
        <v>EXCELLENT</v>
      </c>
      <c r="J57" t="str">
        <v>HIGH PRICE</v>
      </c>
    </row>
    <row r="58" spans="1:10" x14ac:dyDescent="0.35">
      <c r="A58" t="str">
        <v>4pcs Bathroom/Kitchen Towel Rack,Roll Paper Holder,Towel Bars,Hook</v>
      </c>
      <c r="B58">
        <v>1860</v>
      </c>
      <c r="C58">
        <v>3220</v>
      </c>
      <c r="D58">
        <v>1360</v>
      </c>
      <c r="E58">
        <v>0.42</v>
      </c>
      <c r="F58" t="str">
        <v>HIGH DISCOUNT</v>
      </c>
      <c r="G58">
        <v>0</v>
      </c>
      <c r="H58">
        <v>0</v>
      </c>
      <c r="I58" t="str">
        <v>NOT PROVIDED</v>
      </c>
      <c r="J58" t="str">
        <v>MEDIUM PRICE</v>
      </c>
    </row>
    <row r="59" spans="1:10" x14ac:dyDescent="0.35">
      <c r="A59" t="str">
        <v>MultiFunctional Storage Rack Multi-layer Bookshelf</v>
      </c>
      <c r="B59">
        <v>2200</v>
      </c>
      <c r="C59">
        <v>4080</v>
      </c>
      <c r="D59">
        <v>1880</v>
      </c>
      <c r="E59">
        <v>0.46</v>
      </c>
      <c r="F59" t="str">
        <v>HIGH DISCOUNT</v>
      </c>
      <c r="G59">
        <v>0</v>
      </c>
      <c r="H59">
        <v>0</v>
      </c>
      <c r="I59" t="str">
        <v>NOT PROVIDED</v>
      </c>
      <c r="J59" t="str">
        <v>HIGH PRICE</v>
      </c>
    </row>
    <row r="60" spans="1:10" x14ac:dyDescent="0.35">
      <c r="A60" t="str">
        <v>Home Decor Chair Cover-Grey</v>
      </c>
      <c r="B60">
        <v>1980</v>
      </c>
      <c r="C60">
        <v>3200</v>
      </c>
      <c r="D60">
        <v>1220</v>
      </c>
      <c r="E60">
        <v>0.38</v>
      </c>
      <c r="F60" t="str">
        <v>MEDIUM DISCOUNT</v>
      </c>
      <c r="G60">
        <v>0</v>
      </c>
      <c r="H60">
        <v>0</v>
      </c>
      <c r="I60" t="str">
        <v>NOT PROVIDED</v>
      </c>
      <c r="J60" t="str">
        <v>MEDIUM PRICE</v>
      </c>
    </row>
    <row r="61" spans="1:10" x14ac:dyDescent="0.35">
      <c r="A61" t="str">
        <v>LASA Stainless Steel Double Wall Mount Soap Dispenser - 500ml</v>
      </c>
      <c r="B61">
        <v>2750</v>
      </c>
      <c r="C61">
        <v>4471</v>
      </c>
      <c r="D61">
        <v>1721</v>
      </c>
      <c r="E61">
        <v>0.38</v>
      </c>
      <c r="F61" t="str">
        <v>MEDIUM DISCOUNT</v>
      </c>
      <c r="G61">
        <v>0</v>
      </c>
      <c r="H61">
        <v>0</v>
      </c>
      <c r="I61" t="str">
        <v>NOT PROVIDED</v>
      </c>
      <c r="J61" t="str">
        <v>HIGH PRICE</v>
      </c>
    </row>
    <row r="62" spans="1:10" x14ac:dyDescent="0.35">
      <c r="A62" t="str">
        <v>4M Float Switch Water Level Controller -Water Tank</v>
      </c>
      <c r="B62">
        <v>475</v>
      </c>
      <c r="C62">
        <v>931</v>
      </c>
      <c r="D62">
        <v>456</v>
      </c>
      <c r="E62">
        <v>0.49</v>
      </c>
      <c r="F62" t="str">
        <v>HIGH DISCOUNT</v>
      </c>
      <c r="G62">
        <v>0</v>
      </c>
      <c r="H62">
        <v>0</v>
      </c>
      <c r="I62" t="str">
        <v>NOT PROVIDED</v>
      </c>
      <c r="J62" t="str">
        <v>LOW PRICE</v>
      </c>
    </row>
    <row r="63" spans="1:10" x14ac:dyDescent="0.35">
      <c r="A63" t="str">
        <v>Modern Sofa Throw Pillow Cover-45x45cm-Blue&amp;Red</v>
      </c>
      <c r="B63">
        <v>238</v>
      </c>
      <c r="C63">
        <v>476</v>
      </c>
      <c r="D63">
        <v>238</v>
      </c>
      <c r="E63">
        <v>0.5</v>
      </c>
      <c r="F63" t="str">
        <v>HIGH DISCOUNT</v>
      </c>
      <c r="G63">
        <v>0</v>
      </c>
      <c r="H63">
        <v>0</v>
      </c>
      <c r="I63" t="str">
        <v>NOT PROVIDED</v>
      </c>
      <c r="J63" t="str">
        <v>LOW PRICE</v>
      </c>
    </row>
    <row r="64" spans="1:10" x14ac:dyDescent="0.35">
      <c r="A64" t="str">
        <v>Balloon Insert, Birthday Party Balloon Set, PU Leather</v>
      </c>
      <c r="B64">
        <v>610</v>
      </c>
      <c r="C64">
        <v>1060</v>
      </c>
      <c r="D64">
        <v>450</v>
      </c>
      <c r="E64">
        <v>0.42</v>
      </c>
      <c r="F64" t="str">
        <v>HIGH DISCOUNT</v>
      </c>
      <c r="G64">
        <v>0</v>
      </c>
      <c r="H64">
        <v>0</v>
      </c>
      <c r="I64" t="str">
        <v>NOT PROVIDED</v>
      </c>
      <c r="J64" t="str">
        <v>LOW PRICE</v>
      </c>
    </row>
    <row r="65" spans="1:10" x14ac:dyDescent="0.35">
      <c r="A65" t="str">
        <v>Shower Cap Wide Elastic Band Cover Reusable Bashroom Cap</v>
      </c>
      <c r="B65">
        <v>2132</v>
      </c>
      <c r="C65">
        <v>2169</v>
      </c>
      <c r="D65">
        <v>37</v>
      </c>
      <c r="E65">
        <v>0.02</v>
      </c>
      <c r="F65" t="str">
        <v>LOW DISCOUNT</v>
      </c>
      <c r="G65">
        <v>0</v>
      </c>
      <c r="H65">
        <v>0</v>
      </c>
      <c r="I65" t="str">
        <v>NOT PROVIDED</v>
      </c>
      <c r="J65" t="str">
        <v>HIGH PRICE</v>
      </c>
    </row>
    <row r="66" spans="1:10" x14ac:dyDescent="0.35">
      <c r="A66" t="str">
        <v>Christmas Elk Fence Yard Lawn Decorations Cute For Holidays</v>
      </c>
      <c r="B66">
        <v>999</v>
      </c>
      <c r="C66">
        <v>2000</v>
      </c>
      <c r="D66">
        <v>1001</v>
      </c>
      <c r="E66">
        <v>0.5</v>
      </c>
      <c r="F66" t="str">
        <v>HIGH DISCOUNT</v>
      </c>
      <c r="G66">
        <v>0</v>
      </c>
      <c r="H66">
        <v>0</v>
      </c>
      <c r="I66" t="str">
        <v>NOT PROVIDED</v>
      </c>
      <c r="J66" t="str">
        <v>LOW PRICE</v>
      </c>
    </row>
    <row r="67" spans="1:10" x14ac:dyDescent="0.35">
      <c r="A67" t="str">
        <v>60W Hot Melt Glue Sprayer - Efficient And Stable Glue Dispensing</v>
      </c>
      <c r="B67">
        <v>1190</v>
      </c>
      <c r="C67">
        <v>1785</v>
      </c>
      <c r="D67">
        <v>595</v>
      </c>
      <c r="E67">
        <v>0.33</v>
      </c>
      <c r="F67" t="str">
        <v>MEDIUM DISCOUNT</v>
      </c>
      <c r="G67">
        <v>0</v>
      </c>
      <c r="H67">
        <v>0</v>
      </c>
      <c r="I67" t="str">
        <v>NOT PROVIDED</v>
      </c>
      <c r="J67" t="str">
        <v>MEDIUM PRICE</v>
      </c>
    </row>
    <row r="68" spans="1:10" x14ac:dyDescent="0.35">
      <c r="A68" t="str">
        <v>Car Phone Charging Stand</v>
      </c>
      <c r="B68">
        <v>671</v>
      </c>
      <c r="C68">
        <v>1316</v>
      </c>
      <c r="D68">
        <v>645</v>
      </c>
      <c r="E68">
        <v>0.49</v>
      </c>
      <c r="F68" t="str">
        <v>HIGH DISCOUNT</v>
      </c>
      <c r="G68">
        <v>0</v>
      </c>
      <c r="H68">
        <v>0</v>
      </c>
      <c r="I68" t="str">
        <v>NOT PROVIDED</v>
      </c>
      <c r="J68" t="str">
        <v>LOW PRICE</v>
      </c>
    </row>
    <row r="69" spans="1:10" x14ac:dyDescent="0.35">
      <c r="A69" t="str">
        <v>2pcs Solar Street Light Flood Light Outdoor</v>
      </c>
      <c r="B69">
        <v>1200</v>
      </c>
      <c r="C69">
        <v>1950</v>
      </c>
      <c r="D69">
        <v>750</v>
      </c>
      <c r="E69">
        <v>0.38</v>
      </c>
      <c r="F69" t="str">
        <v>MEDIUM DISCOUNT</v>
      </c>
      <c r="G69">
        <v>0</v>
      </c>
      <c r="H69">
        <v>0</v>
      </c>
      <c r="I69" t="str">
        <v>NOT PROVIDED</v>
      </c>
      <c r="J69" t="str">
        <v>MEDIUM PRICE</v>
      </c>
    </row>
    <row r="70" spans="1:10" x14ac:dyDescent="0.35">
      <c r="A70" t="str">
        <v>Creative Owl Shape Keychain Black</v>
      </c>
      <c r="B70">
        <v>199</v>
      </c>
      <c r="C70">
        <v>504</v>
      </c>
      <c r="D70">
        <v>305</v>
      </c>
      <c r="E70">
        <v>0.61</v>
      </c>
      <c r="F70" t="str">
        <v>HIGH DISCOUNT</v>
      </c>
      <c r="G70">
        <v>0</v>
      </c>
      <c r="H70">
        <v>0</v>
      </c>
      <c r="I70" t="str">
        <v>NOT PROVIDED</v>
      </c>
      <c r="J70" t="str">
        <v>LOW PRICE</v>
      </c>
    </row>
    <row r="71" spans="1:10" x14ac:dyDescent="0.35">
      <c r="A71" t="str">
        <v>Brush &amp; Paintbrush Cleaning Tool Pink</v>
      </c>
      <c r="B71">
        <v>299</v>
      </c>
      <c r="C71">
        <v>600</v>
      </c>
      <c r="D71">
        <v>301</v>
      </c>
      <c r="E71">
        <v>0.5</v>
      </c>
      <c r="F71" t="str">
        <v>HIGH DISCOUNT</v>
      </c>
      <c r="G71">
        <v>0</v>
      </c>
      <c r="H71">
        <v>0</v>
      </c>
      <c r="I71" t="str">
        <v>NOT PROVIDED</v>
      </c>
      <c r="J71" t="str">
        <v>LOW PRICE</v>
      </c>
    </row>
    <row r="72" spans="1:10" x14ac:dyDescent="0.35">
      <c r="A72" t="str">
        <v>Pen Grips For Kids Pen Grip Posture Correction Tool For Kids</v>
      </c>
      <c r="B72">
        <v>1660</v>
      </c>
      <c r="C72">
        <v>1699</v>
      </c>
      <c r="D72">
        <v>39</v>
      </c>
      <c r="E72">
        <v>0.02</v>
      </c>
      <c r="F72" t="str">
        <v>LOW DISCOUNT</v>
      </c>
      <c r="G72">
        <v>0</v>
      </c>
      <c r="H72">
        <v>0</v>
      </c>
      <c r="I72" t="str">
        <v>NOT PROVIDED</v>
      </c>
      <c r="J72" t="str">
        <v>MEDIUM PRICE</v>
      </c>
    </row>
    <row r="73" spans="1:10" x14ac:dyDescent="0.35">
      <c r="A73" t="str">
        <v>Pilates Cloth Bag Waterproof Durable High Capacity Purple</v>
      </c>
      <c r="B73">
        <v>299</v>
      </c>
      <c r="C73">
        <v>384</v>
      </c>
      <c r="D73">
        <v>85</v>
      </c>
      <c r="E73">
        <v>0.22</v>
      </c>
      <c r="F73" t="str">
        <v>MEDIUM DISCOUNT</v>
      </c>
      <c r="G73">
        <v>0</v>
      </c>
      <c r="H73">
        <v>0</v>
      </c>
      <c r="I73" t="str">
        <v>NOT PROVIDED</v>
      </c>
      <c r="J73" t="str">
        <v>LOW PRICE</v>
      </c>
    </row>
    <row r="74" spans="1:10" x14ac:dyDescent="0.35">
      <c r="A74" t="str">
        <v>Multi-purpose Rice Drainage Basket And Fruit And Vegetable Drainage Sieve</v>
      </c>
      <c r="B74">
        <v>1459</v>
      </c>
      <c r="C74">
        <v>1499</v>
      </c>
      <c r="D74">
        <v>40</v>
      </c>
      <c r="E74">
        <v>0.03</v>
      </c>
      <c r="F74" t="str">
        <v>LOW DISCOUNT</v>
      </c>
      <c r="G74">
        <v>0</v>
      </c>
      <c r="H74">
        <v>0</v>
      </c>
      <c r="I74" t="str">
        <v>NOT PROVIDED</v>
      </c>
      <c r="J74" t="str">
        <v>MEDIUM PRICE</v>
      </c>
    </row>
    <row r="75" spans="1:10" x14ac:dyDescent="0.35">
      <c r="A75" t="str">
        <v>Cute Christmas Fence Garden Decorations For Holiday Home</v>
      </c>
      <c r="B75">
        <v>799</v>
      </c>
      <c r="C75">
        <v>1343</v>
      </c>
      <c r="D75">
        <v>544</v>
      </c>
      <c r="E75">
        <v>0.41</v>
      </c>
      <c r="F75" t="str">
        <v>HIGH DISCOUNT</v>
      </c>
      <c r="G75">
        <v>0</v>
      </c>
      <c r="H75">
        <v>0</v>
      </c>
      <c r="I75" t="str">
        <v>NOT PROVIDED</v>
      </c>
      <c r="J75" t="str">
        <v>LOW PRICE</v>
      </c>
    </row>
    <row r="76" spans="1:10" x14ac:dyDescent="0.35">
      <c r="A76" t="str">
        <v>Simple Metal Dog Art Sculpture Decoration For Home Office</v>
      </c>
      <c r="B76">
        <v>499</v>
      </c>
      <c r="C76">
        <v>900</v>
      </c>
      <c r="D76">
        <v>401</v>
      </c>
      <c r="E76">
        <v>0.45</v>
      </c>
      <c r="F76" t="str">
        <v>HIGH DISCOUNT</v>
      </c>
      <c r="G76">
        <v>0</v>
      </c>
      <c r="H76">
        <v>0</v>
      </c>
      <c r="I76" t="str">
        <v>NOT PROVIDED</v>
      </c>
      <c r="J76" t="str">
        <v>LOW PRICE</v>
      </c>
    </row>
    <row r="77" spans="1:10" x14ac:dyDescent="0.35">
      <c r="A77" t="str">
        <v>Christmas Fence Garden Decorations Outdoor For Holiday Home</v>
      </c>
      <c r="B77">
        <v>699</v>
      </c>
      <c r="C77">
        <v>1343</v>
      </c>
      <c r="D77">
        <v>644</v>
      </c>
      <c r="E77">
        <v>0.48</v>
      </c>
      <c r="F77" t="str">
        <v>HIGH DISCOUNT</v>
      </c>
      <c r="G77">
        <v>0</v>
      </c>
      <c r="H77">
        <v>0</v>
      </c>
      <c r="I77" t="str">
        <v>NOT PROVIDED</v>
      </c>
      <c r="J77" t="str">
        <v>LOW PRICE</v>
      </c>
    </row>
    <row r="78" spans="1:10" x14ac:dyDescent="0.35">
      <c r="A78" t="str">
        <v>Angle Measuring Tool Full Metal Multi Angle Measuring Tool</v>
      </c>
      <c r="B78">
        <v>799</v>
      </c>
      <c r="C78">
        <v>1567</v>
      </c>
      <c r="D78">
        <v>768</v>
      </c>
      <c r="E78">
        <v>0.49</v>
      </c>
      <c r="F78" t="str">
        <v>HIGH DISCOUNT</v>
      </c>
      <c r="G78">
        <v>0</v>
      </c>
      <c r="H78">
        <v>0</v>
      </c>
      <c r="I78" t="str">
        <v>NOT PROVIDED</v>
      </c>
      <c r="J78" t="str">
        <v>LOW PRICE</v>
      </c>
    </row>
    <row r="79" spans="1:10" x14ac:dyDescent="0.35">
      <c r="A79" t="str">
        <v>12V 19500rpm Handheld Electric Angle Grinder Tool - UK - Yellow/Black</v>
      </c>
      <c r="B79">
        <v>2799</v>
      </c>
      <c r="C79">
        <v>3810</v>
      </c>
      <c r="D79">
        <v>1011</v>
      </c>
      <c r="E79">
        <v>0.27</v>
      </c>
      <c r="F79" t="str">
        <v>MEDIUM DISCOUNT</v>
      </c>
      <c r="G79">
        <v>0</v>
      </c>
      <c r="H79">
        <v>0</v>
      </c>
      <c r="I79" t="str">
        <v>NOT PROVIDED</v>
      </c>
      <c r="J79" t="str">
        <v>HIGH PRICE</v>
      </c>
    </row>
    <row r="80" spans="1:10" x14ac:dyDescent="0.35">
      <c r="A80" t="str">
        <v>Simple Metal Dog Art Sculpture Decoration For Home Office</v>
      </c>
      <c r="B80">
        <v>399</v>
      </c>
      <c r="C80">
        <v>896</v>
      </c>
      <c r="D80">
        <v>497</v>
      </c>
      <c r="E80">
        <v>0.55000000000000004</v>
      </c>
      <c r="F80" t="str">
        <v>HIGH DISCOUNT</v>
      </c>
      <c r="G80">
        <v>0</v>
      </c>
      <c r="H80">
        <v>0</v>
      </c>
      <c r="I80" t="str">
        <v>NOT PROVIDED</v>
      </c>
      <c r="J80" t="str">
        <v>LOW PRICE</v>
      </c>
    </row>
    <row r="81" spans="1:10" x14ac:dyDescent="0.35">
      <c r="A81" t="str">
        <v>2PCS/LOT Solar LED Outdoor Intelligent Light Controlled Wall Lamp</v>
      </c>
      <c r="B81">
        <v>790</v>
      </c>
      <c r="C81">
        <v>1485</v>
      </c>
      <c r="D81">
        <v>695</v>
      </c>
      <c r="E81">
        <v>0.47</v>
      </c>
      <c r="F81" t="str">
        <v>HIGH DISCOUNT</v>
      </c>
      <c r="G81">
        <v>0</v>
      </c>
      <c r="H81">
        <v>0</v>
      </c>
      <c r="I81" t="str">
        <v>NOT PROVIDED</v>
      </c>
      <c r="J81" t="str">
        <v>LOW PRICE</v>
      </c>
    </row>
    <row r="82" spans="1:10" x14ac:dyDescent="0.35">
      <c r="A82" t="str">
        <v>3PCS Rotary Scraper Thermomix For Kitchen</v>
      </c>
      <c r="B82">
        <v>690</v>
      </c>
      <c r="C82">
        <v>1200</v>
      </c>
      <c r="D82">
        <v>510</v>
      </c>
      <c r="E82">
        <v>0.43</v>
      </c>
      <c r="F82" t="str">
        <v>HIGH DISCOUNT</v>
      </c>
      <c r="G82">
        <v>0</v>
      </c>
      <c r="H82">
        <v>0</v>
      </c>
      <c r="I82" t="str">
        <v>NOT PROVIDED</v>
      </c>
      <c r="J82" t="str">
        <v>LOW PRICE</v>
      </c>
    </row>
    <row r="83" spans="1:10" x14ac:dyDescent="0.35">
      <c r="A83" t="str">
        <v>Cushion Silicone Butt Cushion Summer Ice Cushion Honeycomb Gel Cushion</v>
      </c>
      <c r="B83">
        <v>1732</v>
      </c>
      <c r="C83">
        <v>1799</v>
      </c>
      <c r="D83">
        <v>67</v>
      </c>
      <c r="E83">
        <v>0.04</v>
      </c>
      <c r="F83" t="str">
        <v>LOW DISCOUNT</v>
      </c>
      <c r="G83">
        <v>0</v>
      </c>
      <c r="H83">
        <v>0</v>
      </c>
      <c r="I83" t="str">
        <v>NOT PROVIDED</v>
      </c>
      <c r="J83" t="str">
        <v>MEDIUM PRICE</v>
      </c>
    </row>
    <row r="84" spans="1:10" x14ac:dyDescent="0.35">
      <c r="A84" t="str">
        <v>7PCS Silicone Thumb Knife Finger Protector Vegetable Harvesting Knife</v>
      </c>
      <c r="B84">
        <v>230</v>
      </c>
      <c r="C84">
        <v>450</v>
      </c>
      <c r="D84">
        <v>220</v>
      </c>
      <c r="E84">
        <v>0.49</v>
      </c>
      <c r="F84" t="str">
        <v>HIGH DISCOUNT</v>
      </c>
      <c r="G84">
        <v>0</v>
      </c>
      <c r="H84">
        <v>0</v>
      </c>
      <c r="I84" t="str">
        <v>NOT PROVIDED</v>
      </c>
      <c r="J84" t="str">
        <v>LOW PRICE</v>
      </c>
    </row>
    <row r="85" spans="1:10" x14ac:dyDescent="0.35">
      <c r="A85" t="str">
        <v>5m Waterproof Spherical LED String Lights Outdoor Ball Chain Lights Party Lighting Decoration Adjustable</v>
      </c>
      <c r="B85">
        <v>1460</v>
      </c>
      <c r="C85">
        <v>2290</v>
      </c>
      <c r="D85">
        <v>830</v>
      </c>
      <c r="E85">
        <v>0.36</v>
      </c>
      <c r="F85" t="str">
        <v>MEDIUM DISCOUNT</v>
      </c>
      <c r="G85">
        <v>0</v>
      </c>
      <c r="H85">
        <v>0</v>
      </c>
      <c r="I85" t="str">
        <v>NOT PROVIDED</v>
      </c>
      <c r="J85" t="str">
        <v>MEDIUM PRICE</v>
      </c>
    </row>
    <row r="86" spans="1:10" x14ac:dyDescent="0.35">
      <c r="A86" t="str">
        <v>2 Pairs Cowhide Split Leather Work Gloves.32â„‰ Or Above Welding Gloves</v>
      </c>
      <c r="B86">
        <v>1666</v>
      </c>
      <c r="C86">
        <v>1699</v>
      </c>
      <c r="D86">
        <v>33</v>
      </c>
      <c r="E86">
        <v>0.02</v>
      </c>
      <c r="F86" t="str">
        <v>LOW DISCOUNT</v>
      </c>
      <c r="G86">
        <v>0</v>
      </c>
      <c r="H86">
        <v>0</v>
      </c>
      <c r="I86" t="str">
        <v>NOT PROVIDED</v>
      </c>
      <c r="J86" t="str">
        <v>MEDIUM PRICE</v>
      </c>
    </row>
    <row r="87" spans="1:10" x14ac:dyDescent="0.35">
      <c r="A87" t="str">
        <v>Creative Owl Shape Keychain Black</v>
      </c>
      <c r="B87">
        <v>176</v>
      </c>
      <c r="C87">
        <v>345</v>
      </c>
      <c r="D87">
        <v>169</v>
      </c>
      <c r="E87">
        <v>0.49</v>
      </c>
      <c r="F87" t="str">
        <v>HIGH DISCOUNT</v>
      </c>
      <c r="G87">
        <v>0</v>
      </c>
      <c r="H87">
        <v>0</v>
      </c>
      <c r="I87" t="str">
        <v>NOT PROVIDED</v>
      </c>
      <c r="J87" t="str">
        <v>LOW PRICE</v>
      </c>
    </row>
    <row r="88" spans="1:10" x14ac:dyDescent="0.35">
      <c r="A88" t="str">
        <v>Office Chair Lumbar Back Support Spine Posture Correction Pillow Car Cushion</v>
      </c>
      <c r="B88">
        <v>1466</v>
      </c>
      <c r="C88">
        <v>1699</v>
      </c>
      <c r="D88">
        <v>233</v>
      </c>
      <c r="E88">
        <v>0.14000000000000001</v>
      </c>
      <c r="F88" t="str">
        <v>LOW DISCOUNT</v>
      </c>
      <c r="G88">
        <v>0</v>
      </c>
      <c r="H88">
        <v>0</v>
      </c>
      <c r="I88" t="str">
        <v>NOT PROVIDED</v>
      </c>
      <c r="J88" t="str">
        <v>MEDIUM PRICE</v>
      </c>
    </row>
    <row r="89" spans="1:10" x14ac:dyDescent="0.35">
      <c r="A89" t="str">
        <v>Cartoon Car Decoration Cute Individuality For Car Home Desk</v>
      </c>
      <c r="B89">
        <v>274</v>
      </c>
      <c r="C89">
        <v>537</v>
      </c>
      <c r="D89">
        <v>263</v>
      </c>
      <c r="E89">
        <v>0.49</v>
      </c>
      <c r="F89" t="str">
        <v>HIGH DISCOUNT</v>
      </c>
      <c r="G89">
        <v>0</v>
      </c>
      <c r="H89">
        <v>0</v>
      </c>
      <c r="I89" t="str">
        <v>NOT PROVIDED</v>
      </c>
      <c r="J89" t="str">
        <v>LOW PRICE</v>
      </c>
    </row>
    <row r="90" spans="1:10" x14ac:dyDescent="0.35">
      <c r="A90" t="str">
        <v>Outdoor Portable Water Bottle With Medicine Box - 600ML - Black</v>
      </c>
      <c r="B90">
        <v>799</v>
      </c>
      <c r="C90">
        <v>900</v>
      </c>
      <c r="D90">
        <v>101</v>
      </c>
      <c r="E90">
        <v>0.11</v>
      </c>
      <c r="F90" t="str">
        <v>LOW DISCOUNT</v>
      </c>
      <c r="G90">
        <v>0</v>
      </c>
      <c r="H90">
        <v>0</v>
      </c>
      <c r="I90" t="str">
        <v>NOT PROVIDED</v>
      </c>
      <c r="J90" t="str">
        <v>LOW PRICE</v>
      </c>
    </row>
    <row r="91" spans="1:10" x14ac:dyDescent="0.35">
      <c r="A91" t="str">
        <v>Angle Measuring Tool Full Metal Multi Angle Measuring Tool</v>
      </c>
      <c r="B91">
        <v>657</v>
      </c>
      <c r="C91">
        <v>1288</v>
      </c>
      <c r="D91">
        <v>631</v>
      </c>
      <c r="E91">
        <v>0.49</v>
      </c>
      <c r="F91" t="str">
        <v>HIGH DISCOUNT</v>
      </c>
      <c r="G91">
        <v>0</v>
      </c>
      <c r="H91">
        <v>0</v>
      </c>
      <c r="I91" t="str">
        <v>NOT PROVIDED</v>
      </c>
      <c r="J91" t="str">
        <v>LOW PRICE</v>
      </c>
    </row>
    <row r="92" spans="1:10" x14ac:dyDescent="0.35">
      <c r="A92" t="str">
        <v>Wall-Mounted Toothbrush Toothpaste Holder With Multiple Slots</v>
      </c>
      <c r="B92">
        <v>1468</v>
      </c>
      <c r="C92">
        <v>1699</v>
      </c>
      <c r="D92">
        <v>231</v>
      </c>
      <c r="E92">
        <v>0.14000000000000001</v>
      </c>
      <c r="F92" t="str">
        <v>LOW DISCOUNT</v>
      </c>
      <c r="G92">
        <v>0</v>
      </c>
      <c r="H92">
        <v>0</v>
      </c>
      <c r="I92" t="str">
        <v>NOT PROVIDED</v>
      </c>
      <c r="J92" t="str">
        <v>MEDIUM PRICE</v>
      </c>
    </row>
    <row r="93" spans="1:10" x14ac:dyDescent="0.35">
      <c r="A93" t="str">
        <v>Multifunctional Hanging Storage Box Storage Bag (4 Layers)</v>
      </c>
      <c r="B93">
        <v>630</v>
      </c>
      <c r="C93">
        <v>1100</v>
      </c>
      <c r="D93">
        <v>470</v>
      </c>
      <c r="E93">
        <v>0.43</v>
      </c>
      <c r="F93" t="str">
        <v>HIGH DISCOUNT</v>
      </c>
      <c r="G93">
        <v>0</v>
      </c>
      <c r="H93">
        <v>0</v>
      </c>
      <c r="I93" t="str">
        <v>NOT PROVIDED</v>
      </c>
      <c r="J93" t="str">
        <v>LOW PRICE</v>
      </c>
    </row>
    <row r="94" spans="1:10" x14ac:dyDescent="0.35">
      <c r="A94" t="str">
        <v>Wall Clock With Hidden Safe Box</v>
      </c>
      <c r="B94">
        <v>850</v>
      </c>
      <c r="C94">
        <v>1700</v>
      </c>
      <c r="D94">
        <v>850</v>
      </c>
      <c r="E94">
        <v>0.5</v>
      </c>
      <c r="F94" t="str">
        <v>HIGH DISCOUNT</v>
      </c>
      <c r="G94">
        <v>0</v>
      </c>
      <c r="H94">
        <v>0</v>
      </c>
      <c r="I94" t="str">
        <v>NOT PROVIDED</v>
      </c>
      <c r="J94" t="str">
        <v>LOW PRICE</v>
      </c>
    </row>
    <row r="95" spans="1:10" x14ac:dyDescent="0.35">
      <c r="A95" t="str">
        <v>Portable Wine Table With Folding Round Table</v>
      </c>
      <c r="B95">
        <v>1300</v>
      </c>
      <c r="C95">
        <v>2500</v>
      </c>
      <c r="D95">
        <v>1200</v>
      </c>
      <c r="E95">
        <v>0.48</v>
      </c>
      <c r="F95" t="str">
        <v>HIGH DISCOUNT</v>
      </c>
      <c r="G95">
        <v>0</v>
      </c>
      <c r="H95">
        <v>0</v>
      </c>
      <c r="I95" t="str">
        <v>NOT PROVIDED</v>
      </c>
      <c r="J95" t="str">
        <v>MEDIUM PRICE</v>
      </c>
    </row>
    <row r="96" spans="1:10" x14ac:dyDescent="0.35">
      <c r="A96" t="str">
        <v>Sewing Machine Needle Threader Stitch Insertion Tool Automatic Quick Sewing</v>
      </c>
      <c r="B96">
        <v>105</v>
      </c>
      <c r="C96">
        <v>200</v>
      </c>
      <c r="D96">
        <v>95</v>
      </c>
      <c r="E96">
        <v>0.48</v>
      </c>
      <c r="F96" t="str">
        <v>HIGH DISCOUNT</v>
      </c>
      <c r="G96">
        <v>0</v>
      </c>
      <c r="H96">
        <v>0</v>
      </c>
      <c r="I96" t="str">
        <v>NOT PROVIDED</v>
      </c>
      <c r="J96" t="str">
        <v>LOW PRICE</v>
      </c>
    </row>
    <row r="97" spans="1:10" x14ac:dyDescent="0.35">
      <c r="A97" t="str">
        <v>6 Layers Steel Pipe Assembling Dustproof Storage Shoe Cabinet</v>
      </c>
      <c r="B97">
        <v>899</v>
      </c>
      <c r="C97">
        <v>1699</v>
      </c>
      <c r="D97">
        <v>800</v>
      </c>
      <c r="E97">
        <v>0.47</v>
      </c>
      <c r="F97" t="str">
        <v>HIGH DISCOUNT</v>
      </c>
      <c r="G97">
        <v>0</v>
      </c>
      <c r="H97">
        <v>0</v>
      </c>
      <c r="I97" t="str">
        <v>NOT PROVIDED</v>
      </c>
      <c r="J97" t="str">
        <v>LOW PRICE</v>
      </c>
    </row>
    <row r="98" spans="1:10" x14ac:dyDescent="0.35">
      <c r="A98" t="str">
        <v>2PCS Ice Silk Square Cushion Cover Pillowcases - 65x65cm</v>
      </c>
      <c r="B98">
        <v>1200</v>
      </c>
      <c r="C98">
        <v>2400</v>
      </c>
      <c r="D98">
        <v>1200</v>
      </c>
      <c r="E98">
        <v>0.5</v>
      </c>
      <c r="F98" t="str">
        <v>HIGH DISCOUNT</v>
      </c>
      <c r="G98">
        <v>0</v>
      </c>
      <c r="H98">
        <v>0</v>
      </c>
      <c r="I98" t="str">
        <v>NOT PROVIDED</v>
      </c>
      <c r="J98" t="str">
        <v>MEDIUM PRICE</v>
      </c>
    </row>
    <row r="99" spans="1:10" x14ac:dyDescent="0.35">
      <c r="A99" t="str">
        <v>Wall Mount Automatic Toothpaste Dispenser Toothbrush Holder Toothpaste Squeezer</v>
      </c>
      <c r="B99">
        <v>1526</v>
      </c>
      <c r="C99">
        <v>1660</v>
      </c>
      <c r="D99">
        <v>134</v>
      </c>
      <c r="E99">
        <v>0.08</v>
      </c>
      <c r="F99" t="str">
        <v>LOW DISCOUNT</v>
      </c>
      <c r="G99">
        <v>0</v>
      </c>
      <c r="H99">
        <v>0</v>
      </c>
      <c r="I99" t="str">
        <v>NOT PROVIDED</v>
      </c>
      <c r="J99" t="str">
        <v>MEDIUM PRICE</v>
      </c>
    </row>
    <row r="100" spans="1:10" x14ac:dyDescent="0.35">
      <c r="A100" t="str">
        <v>Portable Soap Dispenser Kitchen Detergent Press Box Kitchen Tools</v>
      </c>
      <c r="B100">
        <v>1462</v>
      </c>
      <c r="C100">
        <v>1499</v>
      </c>
      <c r="D100">
        <v>37</v>
      </c>
      <c r="E100">
        <v>0.02</v>
      </c>
      <c r="F100" t="str">
        <v>LOW DISCOUNT</v>
      </c>
      <c r="G100">
        <v>0</v>
      </c>
      <c r="H100">
        <v>0</v>
      </c>
      <c r="I100" t="str">
        <v>NOT PROVIDED</v>
      </c>
      <c r="J100" t="str">
        <v>MEDIUM PRICE</v>
      </c>
    </row>
    <row r="101" spans="1:10" x14ac:dyDescent="0.35">
      <c r="A101" t="str">
        <v>4 Piece Coloured Stainless Steel Kitchenware Set</v>
      </c>
      <c r="B101">
        <v>248</v>
      </c>
      <c r="C101">
        <v>486</v>
      </c>
      <c r="D101">
        <v>238</v>
      </c>
      <c r="E101">
        <v>0.49</v>
      </c>
      <c r="F101" t="str">
        <v>HIGH DISCOUNT</v>
      </c>
      <c r="G101">
        <v>0</v>
      </c>
      <c r="H101">
        <v>0</v>
      </c>
      <c r="I101" t="str">
        <v>NOT PROVIDED</v>
      </c>
      <c r="J101" t="str">
        <v>LOW PRICE</v>
      </c>
    </row>
    <row r="102" spans="1:10" x14ac:dyDescent="0.35">
      <c r="A102" t="str">
        <v>Metal Wall Clock Silver Dial Crystal Jewelry Round Home Decoration Wall Clock</v>
      </c>
      <c r="B102">
        <v>3546</v>
      </c>
      <c r="C102">
        <v>3699</v>
      </c>
      <c r="D102">
        <v>153</v>
      </c>
      <c r="E102">
        <v>0.04</v>
      </c>
      <c r="F102" t="str">
        <v>LOW DISCOUNT</v>
      </c>
      <c r="G102">
        <v>0</v>
      </c>
      <c r="H102">
        <v>0</v>
      </c>
      <c r="I102" t="str">
        <v>NOT PROVIDED</v>
      </c>
      <c r="J102" t="str">
        <v>HIGH PRICE</v>
      </c>
    </row>
    <row r="103" spans="1:10" x14ac:dyDescent="0.35">
      <c r="A103" t="str">
        <v>Baby Early Education Shape And Color Cognitive Training Toys</v>
      </c>
      <c r="B103">
        <v>525</v>
      </c>
      <c r="C103">
        <v>1029</v>
      </c>
      <c r="D103">
        <v>504</v>
      </c>
      <c r="E103">
        <v>0.49</v>
      </c>
      <c r="F103" t="str">
        <v>HIGH DISCOUNT</v>
      </c>
      <c r="G103">
        <v>0</v>
      </c>
      <c r="H103">
        <v>0</v>
      </c>
      <c r="I103" t="str">
        <v>NOT PROVIDED</v>
      </c>
      <c r="J103" t="str">
        <v>LOW PRICE</v>
      </c>
    </row>
    <row r="104" spans="1:10" x14ac:dyDescent="0.35">
      <c r="A104" t="str">
        <v>8in1 Screwdriver With LED Light</v>
      </c>
      <c r="B104">
        <v>1080</v>
      </c>
      <c r="C104">
        <v>1874</v>
      </c>
      <c r="D104">
        <v>794</v>
      </c>
      <c r="E104">
        <v>0.42</v>
      </c>
      <c r="F104" t="str">
        <v>HIGH DISCOUNT</v>
      </c>
      <c r="G104">
        <v>0</v>
      </c>
      <c r="H104">
        <v>0</v>
      </c>
      <c r="I104" t="str">
        <v>NOT PROVIDED</v>
      </c>
      <c r="J104" t="str">
        <v>MEDIUM PRICE</v>
      </c>
    </row>
    <row r="105" spans="1:10" x14ac:dyDescent="0.35">
      <c r="A105" t="str">
        <v>9pcs Gas Mask, For Painting, Dust, Formaldehyde Grinding, Polishing</v>
      </c>
      <c r="B105">
        <v>1420</v>
      </c>
      <c r="C105">
        <v>2420</v>
      </c>
      <c r="D105">
        <v>1000</v>
      </c>
      <c r="E105">
        <v>0.41</v>
      </c>
      <c r="F105" t="str">
        <v>HIGH DISCOUNT</v>
      </c>
      <c r="G105">
        <v>0</v>
      </c>
      <c r="H105">
        <v>0</v>
      </c>
      <c r="I105" t="str">
        <v>NOT PROVIDED</v>
      </c>
      <c r="J105" t="str">
        <v>MEDIUM PRICE</v>
      </c>
    </row>
    <row r="106" spans="1:10" x14ac:dyDescent="0.35">
      <c r="A106" t="str">
        <v>24 Grid Wall-mounted Sundries Organiser Fabric Closet Bag Storage Rack</v>
      </c>
      <c r="B106">
        <v>1875</v>
      </c>
      <c r="C106">
        <v>1899</v>
      </c>
      <c r="D106">
        <v>24</v>
      </c>
      <c r="E106">
        <v>0.01</v>
      </c>
      <c r="F106" t="str">
        <v>LOW DISCOUNT</v>
      </c>
      <c r="G106">
        <v>0</v>
      </c>
      <c r="H106">
        <v>0</v>
      </c>
      <c r="I106" t="str">
        <v>NOT PROVIDED</v>
      </c>
      <c r="J106" t="str">
        <v>MEDIUM PRICE</v>
      </c>
    </row>
    <row r="107" spans="1:10" x14ac:dyDescent="0.35">
      <c r="A107" t="str">
        <v>1PC Refrigerator Food Seal Pocket Fridge Bags</v>
      </c>
      <c r="B107">
        <v>198</v>
      </c>
      <c r="C107">
        <v>260</v>
      </c>
      <c r="D107">
        <v>62</v>
      </c>
      <c r="E107">
        <v>0.24</v>
      </c>
      <c r="F107" t="str">
        <v>MEDIUM DISCOUNT</v>
      </c>
      <c r="G107">
        <v>0</v>
      </c>
      <c r="H107">
        <v>0</v>
      </c>
      <c r="I107" t="str">
        <v>NOT PROVIDED</v>
      </c>
      <c r="J107" t="str">
        <v>LOW PRICE</v>
      </c>
    </row>
    <row r="108" spans="1:10" x14ac:dyDescent="0.35">
      <c r="A108" t="str">
        <v>LED Solar Street Light-fake Camera</v>
      </c>
      <c r="B108">
        <v>1150</v>
      </c>
      <c r="C108">
        <v>1737</v>
      </c>
      <c r="D108">
        <v>587</v>
      </c>
      <c r="E108">
        <v>0.34</v>
      </c>
      <c r="F108" t="str">
        <v>MEDIUM DISCOUNT</v>
      </c>
      <c r="G108">
        <v>0</v>
      </c>
      <c r="H108">
        <v>0</v>
      </c>
      <c r="I108" t="str">
        <v>NOT PROVIDED</v>
      </c>
      <c r="J108" t="str">
        <v>MEDIUM PRICE</v>
      </c>
    </row>
    <row r="109" spans="1:10" x14ac:dyDescent="0.35">
      <c r="A109" t="str">
        <v>Cartoon Embroidered Mini Towel Bear Cotton Wash Cloth Hand 4pcs</v>
      </c>
      <c r="B109">
        <v>1190</v>
      </c>
      <c r="C109">
        <v>1810</v>
      </c>
      <c r="D109">
        <v>620</v>
      </c>
      <c r="E109">
        <v>0.34</v>
      </c>
      <c r="F109" t="str">
        <v>MEDIUM DISCOUNT</v>
      </c>
      <c r="G109">
        <v>0</v>
      </c>
      <c r="H109">
        <v>0</v>
      </c>
      <c r="I109" t="str">
        <v>NOT PROVIDED</v>
      </c>
      <c r="J109" t="str">
        <v>MEDIUM PRICE</v>
      </c>
    </row>
    <row r="110" spans="1:10" x14ac:dyDescent="0.35">
      <c r="A110" t="str">
        <v>Shower Nozzle Cleaning Unclogging Needle Mini Crevice Small Hole Cleaning Brush</v>
      </c>
      <c r="B110">
        <v>1658</v>
      </c>
      <c r="C110">
        <v>1699</v>
      </c>
      <c r="D110">
        <v>41</v>
      </c>
      <c r="E110">
        <v>0.02</v>
      </c>
      <c r="F110" t="str">
        <v>LOW DISCOUNT</v>
      </c>
      <c r="G110">
        <v>0</v>
      </c>
      <c r="H110">
        <v>0</v>
      </c>
      <c r="I110" t="str">
        <v>NOT PROVIDED</v>
      </c>
      <c r="J110" t="str">
        <v>MEDIUM PRICE</v>
      </c>
    </row>
    <row r="111" spans="1:10" x14ac:dyDescent="0.35">
      <c r="A111" t="str">
        <v>Thickening Multipurpose Non Stick Easy To Clean Heat Resistant Spoon Pad</v>
      </c>
      <c r="B111">
        <v>1768</v>
      </c>
      <c r="C111">
        <v>1799</v>
      </c>
      <c r="D111">
        <v>31</v>
      </c>
      <c r="E111">
        <v>0.02</v>
      </c>
      <c r="F111" t="str">
        <v>LOW DISCOUNT</v>
      </c>
      <c r="G111">
        <v>0</v>
      </c>
      <c r="H111">
        <v>0</v>
      </c>
      <c r="I111" t="str">
        <v>NOT PROVIDED</v>
      </c>
      <c r="J111" t="str">
        <v>MEDIUM PRICE</v>
      </c>
    </row>
    <row r="112" spans="1:10" x14ac:dyDescent="0.35">
      <c r="A112" t="str">
        <v>6 In 1 Bottle Can Opener Multifunctional Easy Opener</v>
      </c>
      <c r="B112">
        <v>199</v>
      </c>
      <c r="C112">
        <v>553</v>
      </c>
      <c r="D112">
        <v>354</v>
      </c>
      <c r="E112">
        <v>0.64</v>
      </c>
      <c r="F112" t="str">
        <v>HIGH DISCOUNT</v>
      </c>
      <c r="G112">
        <v>0</v>
      </c>
      <c r="H112">
        <v>0</v>
      </c>
      <c r="I112" t="str">
        <v>NOT PROVIDED</v>
      </c>
      <c r="J112" t="str">
        <v>LOW PRICE</v>
      </c>
    </row>
    <row r="113" spans="1:10" x14ac:dyDescent="0.35">
      <c r="A113" t="str">
        <v>Black Simple Water Cup Wine Coaster Anti Slip Absorbent</v>
      </c>
      <c r="B113">
        <v>169</v>
      </c>
      <c r="C113">
        <v>320</v>
      </c>
      <c r="D113">
        <v>151</v>
      </c>
      <c r="E113">
        <v>0.47</v>
      </c>
      <c r="F113" t="str">
        <v>HIGH DISCOUNT</v>
      </c>
      <c r="G113">
        <v>0</v>
      </c>
      <c r="H113">
        <v>0</v>
      </c>
      <c r="I113" t="str">
        <v>NOT PROVIDED</v>
      </c>
      <c r="J113" t="str">
        <v>LOW PRICE</v>
      </c>
    </row>
  </sheetData>
  <autoFilter ref="A1:J113" xr:uid="{4098AD7D-3D11-4A3D-A877-91277FB74B2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FBE8-0973-4C7A-8301-690E18B6C15C}">
  <sheetPr filterMode="1"/>
  <dimension ref="A1:J116"/>
  <sheetViews>
    <sheetView workbookViewId="0">
      <selection activeCell="C121" sqref="C121"/>
    </sheetView>
  </sheetViews>
  <sheetFormatPr defaultRowHeight="14.5" x14ac:dyDescent="0.35"/>
  <cols>
    <col min="1" max="1" width="74.36328125" customWidth="1"/>
    <col min="2" max="2" width="18.453125" style="3" bestFit="1" customWidth="1"/>
    <col min="3" max="3" width="11.1796875" style="3" bestFit="1" customWidth="1"/>
    <col min="4" max="4" width="16.26953125" style="3" bestFit="1" customWidth="1"/>
    <col min="5" max="5" width="10.36328125" style="1" bestFit="1" customWidth="1"/>
    <col min="6" max="6" width="20.26953125" style="1" bestFit="1" customWidth="1"/>
    <col min="8" max="8" width="9.1796875" style="4" bestFit="1" customWidth="1"/>
    <col min="9" max="9" width="18" bestFit="1" customWidth="1"/>
    <col min="10" max="10" width="16.36328125" bestFit="1" customWidth="1"/>
  </cols>
  <sheetData>
    <row r="1" spans="1:10" s="5" customFormat="1" ht="18.5" x14ac:dyDescent="0.45">
      <c r="A1" s="5" t="s">
        <v>0</v>
      </c>
      <c r="B1" s="7" t="s">
        <v>1</v>
      </c>
      <c r="C1" s="7" t="s">
        <v>326</v>
      </c>
      <c r="D1" s="7" t="s">
        <v>331</v>
      </c>
      <c r="E1" s="8" t="s">
        <v>3</v>
      </c>
      <c r="F1" s="8" t="s">
        <v>323</v>
      </c>
      <c r="G1" s="6" t="s">
        <v>4</v>
      </c>
      <c r="H1" s="9" t="s">
        <v>5</v>
      </c>
      <c r="I1" s="6" t="s">
        <v>324</v>
      </c>
      <c r="J1" s="6" t="s">
        <v>325</v>
      </c>
    </row>
    <row r="2" spans="1:10" hidden="1" x14ac:dyDescent="0.35">
      <c r="A2" t="s">
        <v>56</v>
      </c>
      <c r="B2" s="11">
        <v>332</v>
      </c>
      <c r="C2" s="11">
        <v>684</v>
      </c>
      <c r="D2" s="11">
        <f t="shared" ref="D2:D33" si="0">C2-B2</f>
        <v>352</v>
      </c>
      <c r="E2" s="12">
        <v>0.51</v>
      </c>
      <c r="F2" s="12" t="str">
        <f t="shared" ref="F2:F33" si="1">IF(E2&lt;20%,"LOW DISCOUNT",IF(E2&lt;40%,"MEDIUM DISCOUNT","HIGH DISCOUNT"))</f>
        <v>HIGH DISCOUNT</v>
      </c>
      <c r="G2" s="10">
        <v>2</v>
      </c>
      <c r="H2" s="13">
        <v>5</v>
      </c>
      <c r="I2" s="10" t="str">
        <f t="shared" ref="I2:I33" si="2">IF(ISBLANK(H2),"NOT PROVIDED",IF(H2&lt;3,"POOR",IF(H2&lt;4.5,"AVERAGE","EXCELLENT")))</f>
        <v>EXCELLENT</v>
      </c>
      <c r="J2" s="10" t="str">
        <f t="shared" ref="J2:J33" si="3">IF(B2&lt;1000,"LOW PRICE",IF(B2&lt;2000,"MEDIUM PRICE","HIGH PRICE"))</f>
        <v>LOW PRICE</v>
      </c>
    </row>
    <row r="3" spans="1:10" hidden="1" x14ac:dyDescent="0.35">
      <c r="A3" t="s">
        <v>60</v>
      </c>
      <c r="B3" s="11">
        <v>195</v>
      </c>
      <c r="C3" s="11">
        <v>360</v>
      </c>
      <c r="D3" s="11">
        <f t="shared" si="0"/>
        <v>165</v>
      </c>
      <c r="E3" s="12">
        <v>0.46</v>
      </c>
      <c r="F3" s="12" t="str">
        <f t="shared" si="1"/>
        <v>HIGH DISCOUNT</v>
      </c>
      <c r="G3" s="10">
        <v>2</v>
      </c>
      <c r="H3" s="13">
        <v>5</v>
      </c>
      <c r="I3" s="10" t="str">
        <f t="shared" si="2"/>
        <v>EXCELLENT</v>
      </c>
      <c r="J3" s="10" t="str">
        <f t="shared" si="3"/>
        <v>LOW PRICE</v>
      </c>
    </row>
    <row r="4" spans="1:10" hidden="1" x14ac:dyDescent="0.35">
      <c r="A4" t="s">
        <v>63</v>
      </c>
      <c r="B4" s="11">
        <v>2025</v>
      </c>
      <c r="C4" s="11">
        <v>3971</v>
      </c>
      <c r="D4" s="11">
        <f t="shared" si="0"/>
        <v>1946</v>
      </c>
      <c r="E4" s="12">
        <v>0.49</v>
      </c>
      <c r="F4" s="12" t="str">
        <f t="shared" si="1"/>
        <v>HIGH DISCOUNT</v>
      </c>
      <c r="G4" s="10">
        <v>3</v>
      </c>
      <c r="H4" s="13">
        <v>5</v>
      </c>
      <c r="I4" s="10" t="str">
        <f t="shared" si="2"/>
        <v>EXCELLENT</v>
      </c>
      <c r="J4" s="10" t="str">
        <f t="shared" si="3"/>
        <v>HIGH PRICE</v>
      </c>
    </row>
    <row r="5" spans="1:10" hidden="1" x14ac:dyDescent="0.35">
      <c r="A5" t="s">
        <v>117</v>
      </c>
      <c r="B5" s="11">
        <v>1620</v>
      </c>
      <c r="C5" s="11">
        <v>2690</v>
      </c>
      <c r="D5" s="11">
        <f t="shared" si="0"/>
        <v>1070</v>
      </c>
      <c r="E5" s="12">
        <v>0.4</v>
      </c>
      <c r="F5" s="12" t="str">
        <f t="shared" si="1"/>
        <v>HIGH DISCOUNT</v>
      </c>
      <c r="G5" s="10">
        <v>1</v>
      </c>
      <c r="H5" s="13">
        <v>5</v>
      </c>
      <c r="I5" s="10" t="str">
        <f t="shared" si="2"/>
        <v>EXCELLENT</v>
      </c>
      <c r="J5" s="10" t="str">
        <f t="shared" si="3"/>
        <v>MEDIUM PRICE</v>
      </c>
    </row>
    <row r="6" spans="1:10" x14ac:dyDescent="0.35">
      <c r="A6" t="s">
        <v>120</v>
      </c>
      <c r="B6" s="11">
        <v>171</v>
      </c>
      <c r="C6" s="11">
        <v>360</v>
      </c>
      <c r="D6" s="11">
        <f t="shared" si="0"/>
        <v>189</v>
      </c>
      <c r="E6" s="12">
        <v>0.53</v>
      </c>
      <c r="F6" s="12" t="str">
        <f t="shared" si="1"/>
        <v>HIGH DISCOUNT</v>
      </c>
      <c r="G6" s="10">
        <v>2</v>
      </c>
      <c r="H6" s="13">
        <v>5</v>
      </c>
      <c r="I6" s="10" t="str">
        <f t="shared" si="2"/>
        <v>EXCELLENT</v>
      </c>
      <c r="J6" s="10" t="str">
        <f t="shared" si="3"/>
        <v>LOW PRICE</v>
      </c>
    </row>
    <row r="7" spans="1:10" hidden="1" x14ac:dyDescent="0.35">
      <c r="A7" t="s">
        <v>245</v>
      </c>
      <c r="B7" s="11">
        <v>979</v>
      </c>
      <c r="C7" s="11">
        <v>1920</v>
      </c>
      <c r="D7" s="11">
        <f t="shared" si="0"/>
        <v>941</v>
      </c>
      <c r="E7" s="12">
        <v>0.49</v>
      </c>
      <c r="F7" s="12" t="str">
        <f t="shared" si="1"/>
        <v>HIGH DISCOUNT</v>
      </c>
      <c r="G7" s="10">
        <v>1</v>
      </c>
      <c r="H7" s="13">
        <v>5</v>
      </c>
      <c r="I7" s="10" t="str">
        <f t="shared" si="2"/>
        <v>EXCELLENT</v>
      </c>
      <c r="J7" s="10" t="str">
        <f t="shared" si="3"/>
        <v>LOW PRICE</v>
      </c>
    </row>
    <row r="8" spans="1:10" hidden="1" x14ac:dyDescent="0.35">
      <c r="A8" t="s">
        <v>295</v>
      </c>
      <c r="B8" s="11">
        <v>3640</v>
      </c>
      <c r="C8" s="11">
        <v>4588</v>
      </c>
      <c r="D8" s="11">
        <f t="shared" si="0"/>
        <v>948</v>
      </c>
      <c r="E8" s="12">
        <v>0.21</v>
      </c>
      <c r="F8" s="12" t="str">
        <f t="shared" si="1"/>
        <v>MEDIUM DISCOUNT</v>
      </c>
      <c r="G8" s="10">
        <v>1</v>
      </c>
      <c r="H8" s="13">
        <v>5</v>
      </c>
      <c r="I8" s="10" t="str">
        <f t="shared" si="2"/>
        <v>EXCELLENT</v>
      </c>
      <c r="J8" s="10" t="str">
        <f t="shared" si="3"/>
        <v>HIGH PRICE</v>
      </c>
    </row>
    <row r="9" spans="1:10" hidden="1" x14ac:dyDescent="0.35">
      <c r="A9" t="s">
        <v>22</v>
      </c>
      <c r="B9" s="11">
        <v>1740</v>
      </c>
      <c r="C9" s="11">
        <v>2356</v>
      </c>
      <c r="D9" s="11">
        <f t="shared" si="0"/>
        <v>616</v>
      </c>
      <c r="E9" s="12">
        <v>0.26</v>
      </c>
      <c r="F9" s="12" t="str">
        <f t="shared" si="1"/>
        <v>MEDIUM DISCOUNT</v>
      </c>
      <c r="G9" s="10">
        <v>5</v>
      </c>
      <c r="H9" s="13">
        <v>4.8</v>
      </c>
      <c r="I9" s="10" t="str">
        <f t="shared" si="2"/>
        <v>EXCELLENT</v>
      </c>
      <c r="J9" s="10" t="str">
        <f t="shared" si="3"/>
        <v>MEDIUM PRICE</v>
      </c>
    </row>
    <row r="10" spans="1:10" x14ac:dyDescent="0.35">
      <c r="A10" t="s">
        <v>35</v>
      </c>
      <c r="B10" s="11">
        <v>1274</v>
      </c>
      <c r="C10" s="11">
        <v>2800</v>
      </c>
      <c r="D10" s="11">
        <f t="shared" si="0"/>
        <v>1526</v>
      </c>
      <c r="E10" s="12">
        <v>0.55000000000000004</v>
      </c>
      <c r="F10" s="12" t="str">
        <f t="shared" si="1"/>
        <v>HIGH DISCOUNT</v>
      </c>
      <c r="G10" s="10">
        <v>5</v>
      </c>
      <c r="H10" s="13">
        <v>4.8</v>
      </c>
      <c r="I10" s="10" t="str">
        <f t="shared" si="2"/>
        <v>EXCELLENT</v>
      </c>
      <c r="J10" s="10" t="str">
        <f t="shared" si="3"/>
        <v>MEDIUM PRICE</v>
      </c>
    </row>
    <row r="11" spans="1:10" hidden="1" x14ac:dyDescent="0.35">
      <c r="A11" t="s">
        <v>47</v>
      </c>
      <c r="B11" s="11">
        <v>552</v>
      </c>
      <c r="C11" s="11">
        <v>1035</v>
      </c>
      <c r="D11" s="11">
        <f t="shared" si="0"/>
        <v>483</v>
      </c>
      <c r="E11" s="12">
        <v>0.47</v>
      </c>
      <c r="F11" s="12" t="str">
        <f t="shared" si="1"/>
        <v>HIGH DISCOUNT</v>
      </c>
      <c r="G11" s="10">
        <v>12</v>
      </c>
      <c r="H11" s="13">
        <v>4.8</v>
      </c>
      <c r="I11" s="10" t="str">
        <f t="shared" si="2"/>
        <v>EXCELLENT</v>
      </c>
      <c r="J11" s="10" t="str">
        <f t="shared" si="3"/>
        <v>LOW PRICE</v>
      </c>
    </row>
    <row r="12" spans="1:10" hidden="1" x14ac:dyDescent="0.35">
      <c r="A12" t="s">
        <v>18</v>
      </c>
      <c r="B12" s="11">
        <v>1580</v>
      </c>
      <c r="C12" s="11">
        <v>2499</v>
      </c>
      <c r="D12" s="11">
        <f t="shared" si="0"/>
        <v>919</v>
      </c>
      <c r="E12" s="12">
        <v>0.37</v>
      </c>
      <c r="F12" s="12" t="str">
        <f t="shared" si="1"/>
        <v>MEDIUM DISCOUNT</v>
      </c>
      <c r="G12" s="10">
        <v>7</v>
      </c>
      <c r="H12" s="13">
        <v>4.7</v>
      </c>
      <c r="I12" s="10" t="str">
        <f t="shared" si="2"/>
        <v>EXCELLENT</v>
      </c>
      <c r="J12" s="10" t="str">
        <f t="shared" si="3"/>
        <v>MEDIUM PRICE</v>
      </c>
    </row>
    <row r="13" spans="1:10" hidden="1" x14ac:dyDescent="0.35">
      <c r="A13" t="s">
        <v>44</v>
      </c>
      <c r="B13" s="11">
        <v>990</v>
      </c>
      <c r="C13" s="11">
        <v>1500</v>
      </c>
      <c r="D13" s="11">
        <f t="shared" si="0"/>
        <v>510</v>
      </c>
      <c r="E13" s="12">
        <v>0.34</v>
      </c>
      <c r="F13" s="12" t="str">
        <f t="shared" si="1"/>
        <v>MEDIUM DISCOUNT</v>
      </c>
      <c r="G13" s="10">
        <v>39</v>
      </c>
      <c r="H13" s="13">
        <v>4.7</v>
      </c>
      <c r="I13" s="10" t="str">
        <f t="shared" si="2"/>
        <v>EXCELLENT</v>
      </c>
      <c r="J13" s="10" t="str">
        <f t="shared" si="3"/>
        <v>LOW PRICE</v>
      </c>
    </row>
    <row r="14" spans="1:10" hidden="1" x14ac:dyDescent="0.35">
      <c r="A14" t="s">
        <v>105</v>
      </c>
      <c r="B14" s="11">
        <v>980</v>
      </c>
      <c r="C14" s="11">
        <v>1490</v>
      </c>
      <c r="D14" s="11">
        <f t="shared" si="0"/>
        <v>510</v>
      </c>
      <c r="E14" s="12">
        <v>0.34</v>
      </c>
      <c r="F14" s="12" t="str">
        <f t="shared" si="1"/>
        <v>MEDIUM DISCOUNT</v>
      </c>
      <c r="G14" s="10">
        <v>12</v>
      </c>
      <c r="H14" s="13">
        <v>4.7</v>
      </c>
      <c r="I14" s="10" t="str">
        <f t="shared" si="2"/>
        <v>EXCELLENT</v>
      </c>
      <c r="J14" s="10" t="str">
        <f t="shared" si="3"/>
        <v>LOW PRICE</v>
      </c>
    </row>
    <row r="15" spans="1:10" hidden="1" x14ac:dyDescent="0.35">
      <c r="A15" t="s">
        <v>111</v>
      </c>
      <c r="B15" s="11">
        <v>1940</v>
      </c>
      <c r="C15" s="11">
        <v>2650</v>
      </c>
      <c r="D15" s="11">
        <f t="shared" si="0"/>
        <v>710</v>
      </c>
      <c r="E15" s="12">
        <v>0.27</v>
      </c>
      <c r="F15" s="12" t="str">
        <f t="shared" si="1"/>
        <v>MEDIUM DISCOUNT</v>
      </c>
      <c r="G15" s="10">
        <v>20</v>
      </c>
      <c r="H15" s="13">
        <v>4.7</v>
      </c>
      <c r="I15" s="10" t="str">
        <f t="shared" si="2"/>
        <v>EXCELLENT</v>
      </c>
      <c r="J15" s="10" t="str">
        <f t="shared" si="3"/>
        <v>MEDIUM PRICE</v>
      </c>
    </row>
    <row r="16" spans="1:10" hidden="1" x14ac:dyDescent="0.35">
      <c r="A16" t="s">
        <v>14</v>
      </c>
      <c r="B16" s="11">
        <v>2199</v>
      </c>
      <c r="C16" s="11">
        <v>2923</v>
      </c>
      <c r="D16" s="11">
        <f t="shared" si="0"/>
        <v>724</v>
      </c>
      <c r="E16" s="12">
        <v>0.25</v>
      </c>
      <c r="F16" s="12" t="str">
        <f t="shared" si="1"/>
        <v>MEDIUM DISCOUNT</v>
      </c>
      <c r="G16" s="10">
        <v>24</v>
      </c>
      <c r="H16" s="13">
        <v>4.5999999999999996</v>
      </c>
      <c r="I16" s="10" t="str">
        <f t="shared" si="2"/>
        <v>EXCELLENT</v>
      </c>
      <c r="J16" s="10" t="str">
        <f t="shared" si="3"/>
        <v>HIGH PRICE</v>
      </c>
    </row>
    <row r="17" spans="1:10" hidden="1" x14ac:dyDescent="0.35">
      <c r="A17" t="s">
        <v>30</v>
      </c>
      <c r="B17" s="11">
        <v>2319</v>
      </c>
      <c r="C17" s="11">
        <v>3032</v>
      </c>
      <c r="D17" s="11">
        <f t="shared" si="0"/>
        <v>713</v>
      </c>
      <c r="E17" s="12">
        <v>0.24</v>
      </c>
      <c r="F17" s="12" t="str">
        <f t="shared" si="1"/>
        <v>MEDIUM DISCOUNT</v>
      </c>
      <c r="G17" s="10">
        <v>55</v>
      </c>
      <c r="H17" s="13">
        <v>4.5999999999999996</v>
      </c>
      <c r="I17" s="10" t="str">
        <f t="shared" si="2"/>
        <v>EXCELLENT</v>
      </c>
      <c r="J17" s="10" t="str">
        <f t="shared" si="3"/>
        <v>HIGH PRICE</v>
      </c>
    </row>
    <row r="18" spans="1:10" hidden="1" x14ac:dyDescent="0.35">
      <c r="A18" t="s">
        <v>66</v>
      </c>
      <c r="B18" s="11">
        <v>2999</v>
      </c>
      <c r="C18" s="11">
        <v>3699</v>
      </c>
      <c r="D18" s="11">
        <f t="shared" si="0"/>
        <v>700</v>
      </c>
      <c r="E18" s="12">
        <v>0.19</v>
      </c>
      <c r="F18" s="12" t="str">
        <f t="shared" si="1"/>
        <v>LOW DISCOUNT</v>
      </c>
      <c r="G18" s="10">
        <v>5</v>
      </c>
      <c r="H18" s="13">
        <v>4.5999999999999996</v>
      </c>
      <c r="I18" s="10" t="str">
        <f t="shared" si="2"/>
        <v>EXCELLENT</v>
      </c>
      <c r="J18" s="10" t="str">
        <f t="shared" si="3"/>
        <v>HIGH PRICE</v>
      </c>
    </row>
    <row r="19" spans="1:10" hidden="1" x14ac:dyDescent="0.35">
      <c r="A19" t="s">
        <v>68</v>
      </c>
      <c r="B19" s="11">
        <v>998</v>
      </c>
      <c r="C19" s="11">
        <v>1966</v>
      </c>
      <c r="D19" s="11">
        <f t="shared" si="0"/>
        <v>968</v>
      </c>
      <c r="E19" s="12">
        <v>0.49</v>
      </c>
      <c r="F19" s="12" t="str">
        <f t="shared" si="1"/>
        <v>HIGH DISCOUNT</v>
      </c>
      <c r="G19" s="10">
        <v>44</v>
      </c>
      <c r="H19" s="13">
        <v>4.5999999999999996</v>
      </c>
      <c r="I19" s="10" t="str">
        <f t="shared" si="2"/>
        <v>EXCELLENT</v>
      </c>
      <c r="J19" s="10" t="str">
        <f t="shared" si="3"/>
        <v>LOW PRICE</v>
      </c>
    </row>
    <row r="20" spans="1:10" hidden="1" x14ac:dyDescent="0.35">
      <c r="A20" t="s">
        <v>89</v>
      </c>
      <c r="B20" s="11">
        <v>420</v>
      </c>
      <c r="C20" s="11">
        <v>647</v>
      </c>
      <c r="D20" s="11">
        <f t="shared" si="0"/>
        <v>227</v>
      </c>
      <c r="E20" s="12">
        <v>0.35</v>
      </c>
      <c r="F20" s="12" t="str">
        <f t="shared" si="1"/>
        <v>MEDIUM DISCOUNT</v>
      </c>
      <c r="G20" s="10">
        <v>49</v>
      </c>
      <c r="H20" s="13">
        <v>4.5999999999999996</v>
      </c>
      <c r="I20" s="10" t="str">
        <f t="shared" si="2"/>
        <v>EXCELLENT</v>
      </c>
      <c r="J20" s="10" t="str">
        <f t="shared" si="3"/>
        <v>LOW PRICE</v>
      </c>
    </row>
    <row r="21" spans="1:10" hidden="1" x14ac:dyDescent="0.35">
      <c r="A21" t="s">
        <v>6</v>
      </c>
      <c r="B21" s="11">
        <v>950</v>
      </c>
      <c r="C21" s="11">
        <v>1525</v>
      </c>
      <c r="D21" s="11">
        <f t="shared" si="0"/>
        <v>575</v>
      </c>
      <c r="E21" s="12">
        <v>0.38</v>
      </c>
      <c r="F21" s="12" t="str">
        <f t="shared" si="1"/>
        <v>MEDIUM DISCOUNT</v>
      </c>
      <c r="G21" s="10">
        <v>2</v>
      </c>
      <c r="H21" s="13">
        <v>4.5</v>
      </c>
      <c r="I21" s="10" t="str">
        <f t="shared" si="2"/>
        <v>EXCELLENT</v>
      </c>
      <c r="J21" s="10" t="str">
        <f t="shared" si="3"/>
        <v>LOW PRICE</v>
      </c>
    </row>
    <row r="22" spans="1:10" hidden="1" x14ac:dyDescent="0.35">
      <c r="A22" t="s">
        <v>50</v>
      </c>
      <c r="B22" s="11">
        <v>501</v>
      </c>
      <c r="C22" s="11">
        <v>860</v>
      </c>
      <c r="D22" s="11">
        <f t="shared" si="0"/>
        <v>359</v>
      </c>
      <c r="E22" s="12">
        <v>0.42</v>
      </c>
      <c r="F22" s="12" t="str">
        <f t="shared" si="1"/>
        <v>HIGH DISCOUNT</v>
      </c>
      <c r="G22" s="10">
        <v>6</v>
      </c>
      <c r="H22" s="13">
        <v>4.5</v>
      </c>
      <c r="I22" s="10" t="str">
        <f t="shared" si="2"/>
        <v>EXCELLENT</v>
      </c>
      <c r="J22" s="10" t="str">
        <f t="shared" si="3"/>
        <v>LOW PRICE</v>
      </c>
    </row>
    <row r="23" spans="1:10" hidden="1" x14ac:dyDescent="0.35">
      <c r="A23" t="s">
        <v>114</v>
      </c>
      <c r="B23" s="11">
        <v>1980</v>
      </c>
      <c r="C23" s="11">
        <v>2699</v>
      </c>
      <c r="D23" s="11">
        <f t="shared" si="0"/>
        <v>719</v>
      </c>
      <c r="E23" s="12">
        <v>0.27</v>
      </c>
      <c r="F23" s="12" t="str">
        <f t="shared" si="1"/>
        <v>MEDIUM DISCOUNT</v>
      </c>
      <c r="G23" s="10">
        <v>32</v>
      </c>
      <c r="H23" s="13">
        <v>4.5</v>
      </c>
      <c r="I23" s="10" t="str">
        <f t="shared" si="2"/>
        <v>EXCELLENT</v>
      </c>
      <c r="J23" s="10" t="str">
        <f t="shared" si="3"/>
        <v>MEDIUM PRICE</v>
      </c>
    </row>
    <row r="24" spans="1:10" hidden="1" x14ac:dyDescent="0.35">
      <c r="A24" t="s">
        <v>334</v>
      </c>
      <c r="B24" s="11">
        <v>1620</v>
      </c>
      <c r="C24" s="11">
        <v>2200</v>
      </c>
      <c r="D24" s="11">
        <f t="shared" si="0"/>
        <v>580</v>
      </c>
      <c r="E24" s="12">
        <v>0.26</v>
      </c>
      <c r="F24" s="12" t="str">
        <f t="shared" si="1"/>
        <v>MEDIUM DISCOUNT</v>
      </c>
      <c r="G24" s="10">
        <v>2</v>
      </c>
      <c r="H24" s="13">
        <v>4.5</v>
      </c>
      <c r="I24" s="10" t="str">
        <f t="shared" si="2"/>
        <v>EXCELLENT</v>
      </c>
      <c r="J24" s="10" t="str">
        <f t="shared" si="3"/>
        <v>MEDIUM PRICE</v>
      </c>
    </row>
    <row r="25" spans="1:10" hidden="1" x14ac:dyDescent="0.35">
      <c r="A25" t="s">
        <v>81</v>
      </c>
      <c r="B25" s="11">
        <v>1650</v>
      </c>
      <c r="C25" s="11">
        <v>2150</v>
      </c>
      <c r="D25" s="11">
        <f t="shared" si="0"/>
        <v>500</v>
      </c>
      <c r="E25" s="12">
        <v>0.23</v>
      </c>
      <c r="F25" s="12" t="str">
        <f t="shared" si="1"/>
        <v>MEDIUM DISCOUNT</v>
      </c>
      <c r="G25" s="10">
        <v>14</v>
      </c>
      <c r="H25" s="13">
        <v>4.4000000000000004</v>
      </c>
      <c r="I25" s="10" t="str">
        <f t="shared" si="2"/>
        <v>AVERAGE</v>
      </c>
      <c r="J25" s="10" t="str">
        <f t="shared" si="3"/>
        <v>MEDIUM PRICE</v>
      </c>
    </row>
    <row r="26" spans="1:10" x14ac:dyDescent="0.35">
      <c r="A26" t="s">
        <v>85</v>
      </c>
      <c r="B26" s="11">
        <v>2048</v>
      </c>
      <c r="C26" s="11">
        <v>4500</v>
      </c>
      <c r="D26" s="11">
        <f t="shared" si="0"/>
        <v>2452</v>
      </c>
      <c r="E26" s="12">
        <v>0.54</v>
      </c>
      <c r="F26" s="12" t="str">
        <f t="shared" si="1"/>
        <v>HIGH DISCOUNT</v>
      </c>
      <c r="G26" s="10">
        <v>7</v>
      </c>
      <c r="H26" s="13">
        <v>4.3</v>
      </c>
      <c r="I26" s="10" t="str">
        <f t="shared" si="2"/>
        <v>AVERAGE</v>
      </c>
      <c r="J26" s="10" t="str">
        <f t="shared" si="3"/>
        <v>HIGH PRICE</v>
      </c>
    </row>
    <row r="27" spans="1:10" x14ac:dyDescent="0.35">
      <c r="A27" t="s">
        <v>102</v>
      </c>
      <c r="B27" s="11">
        <v>185</v>
      </c>
      <c r="C27" s="11">
        <v>382</v>
      </c>
      <c r="D27" s="11">
        <f t="shared" si="0"/>
        <v>197</v>
      </c>
      <c r="E27" s="12">
        <v>0.52</v>
      </c>
      <c r="F27" s="12" t="str">
        <f t="shared" si="1"/>
        <v>HIGH DISCOUNT</v>
      </c>
      <c r="G27" s="10">
        <v>9</v>
      </c>
      <c r="H27" s="13">
        <v>4.3</v>
      </c>
      <c r="I27" s="10" t="str">
        <f t="shared" si="2"/>
        <v>AVERAGE</v>
      </c>
      <c r="J27" s="10" t="str">
        <f t="shared" si="3"/>
        <v>LOW PRICE</v>
      </c>
    </row>
    <row r="28" spans="1:10" hidden="1" x14ac:dyDescent="0.35">
      <c r="A28" t="s">
        <v>108</v>
      </c>
      <c r="B28" s="11">
        <v>1820</v>
      </c>
      <c r="C28" s="11">
        <v>3490</v>
      </c>
      <c r="D28" s="11">
        <f t="shared" si="0"/>
        <v>1670</v>
      </c>
      <c r="E28" s="12">
        <v>0.48</v>
      </c>
      <c r="F28" s="12" t="str">
        <f t="shared" si="1"/>
        <v>HIGH DISCOUNT</v>
      </c>
      <c r="G28" s="10">
        <v>9</v>
      </c>
      <c r="H28" s="13">
        <v>4.3</v>
      </c>
      <c r="I28" s="10" t="str">
        <f t="shared" si="2"/>
        <v>AVERAGE</v>
      </c>
      <c r="J28" s="10" t="str">
        <f t="shared" si="3"/>
        <v>MEDIUM PRICE</v>
      </c>
    </row>
    <row r="29" spans="1:10" hidden="1" x14ac:dyDescent="0.35">
      <c r="A29" t="s">
        <v>122</v>
      </c>
      <c r="B29" s="11">
        <v>389</v>
      </c>
      <c r="C29" s="11">
        <v>656</v>
      </c>
      <c r="D29" s="11">
        <f t="shared" si="0"/>
        <v>267</v>
      </c>
      <c r="E29" s="12">
        <v>0.41</v>
      </c>
      <c r="F29" s="12" t="str">
        <f t="shared" si="1"/>
        <v>HIGH DISCOUNT</v>
      </c>
      <c r="G29" s="10">
        <v>36</v>
      </c>
      <c r="H29" s="13">
        <v>4.3</v>
      </c>
      <c r="I29" s="10" t="str">
        <f t="shared" si="2"/>
        <v>AVERAGE</v>
      </c>
      <c r="J29" s="10" t="str">
        <f t="shared" si="3"/>
        <v>LOW PRICE</v>
      </c>
    </row>
    <row r="30" spans="1:10" hidden="1" x14ac:dyDescent="0.35">
      <c r="A30" t="s">
        <v>53</v>
      </c>
      <c r="B30" s="11">
        <v>1680</v>
      </c>
      <c r="C30" s="11">
        <v>2499</v>
      </c>
      <c r="D30" s="11">
        <f t="shared" si="0"/>
        <v>819</v>
      </c>
      <c r="E30" s="12">
        <v>0.33</v>
      </c>
      <c r="F30" s="12" t="str">
        <f t="shared" si="1"/>
        <v>MEDIUM DISCOUNT</v>
      </c>
      <c r="G30" s="10">
        <v>9</v>
      </c>
      <c r="H30" s="13">
        <v>4.2</v>
      </c>
      <c r="I30" s="10" t="str">
        <f t="shared" si="2"/>
        <v>AVERAGE</v>
      </c>
      <c r="J30" s="10" t="str">
        <f t="shared" si="3"/>
        <v>MEDIUM PRICE</v>
      </c>
    </row>
    <row r="31" spans="1:10" hidden="1" x14ac:dyDescent="0.35">
      <c r="A31" t="s">
        <v>10</v>
      </c>
      <c r="B31" s="11">
        <v>527</v>
      </c>
      <c r="C31" s="11">
        <v>999</v>
      </c>
      <c r="D31" s="11">
        <f t="shared" si="0"/>
        <v>472</v>
      </c>
      <c r="E31" s="12">
        <v>0.47</v>
      </c>
      <c r="F31" s="12" t="str">
        <f t="shared" si="1"/>
        <v>HIGH DISCOUNT</v>
      </c>
      <c r="G31" s="10">
        <v>14</v>
      </c>
      <c r="H31" s="13">
        <v>4.0999999999999996</v>
      </c>
      <c r="I31" s="10" t="str">
        <f t="shared" si="2"/>
        <v>AVERAGE</v>
      </c>
      <c r="J31" s="10" t="str">
        <f t="shared" si="3"/>
        <v>LOW PRICE</v>
      </c>
    </row>
    <row r="32" spans="1:10" hidden="1" x14ac:dyDescent="0.35">
      <c r="A32" t="s">
        <v>42</v>
      </c>
      <c r="B32" s="11">
        <v>799</v>
      </c>
      <c r="C32" s="11">
        <v>999</v>
      </c>
      <c r="D32" s="11">
        <f t="shared" si="0"/>
        <v>200</v>
      </c>
      <c r="E32" s="12">
        <v>0.2</v>
      </c>
      <c r="F32" s="12" t="str">
        <f t="shared" si="1"/>
        <v>MEDIUM DISCOUNT</v>
      </c>
      <c r="G32" s="10">
        <v>12</v>
      </c>
      <c r="H32" s="13">
        <v>4.0999999999999996</v>
      </c>
      <c r="I32" s="10" t="str">
        <f t="shared" si="2"/>
        <v>AVERAGE</v>
      </c>
      <c r="J32" s="10" t="str">
        <f t="shared" si="3"/>
        <v>LOW PRICE</v>
      </c>
    </row>
    <row r="33" spans="1:10" hidden="1" x14ac:dyDescent="0.35">
      <c r="A33" t="s">
        <v>97</v>
      </c>
      <c r="B33" s="11">
        <v>1758</v>
      </c>
      <c r="C33" s="11">
        <v>2499</v>
      </c>
      <c r="D33" s="11">
        <f t="shared" si="0"/>
        <v>741</v>
      </c>
      <c r="E33" s="12">
        <v>0.3</v>
      </c>
      <c r="F33" s="12" t="str">
        <f t="shared" si="1"/>
        <v>MEDIUM DISCOUNT</v>
      </c>
      <c r="G33" s="10">
        <v>20</v>
      </c>
      <c r="H33" s="13">
        <v>4.0999999999999996</v>
      </c>
      <c r="I33" s="10" t="str">
        <f t="shared" si="2"/>
        <v>AVERAGE</v>
      </c>
      <c r="J33" s="10" t="str">
        <f t="shared" si="3"/>
        <v>MEDIUM PRICE</v>
      </c>
    </row>
    <row r="34" spans="1:10" hidden="1" x14ac:dyDescent="0.35">
      <c r="A34" t="s">
        <v>26</v>
      </c>
      <c r="B34" s="11">
        <v>2999</v>
      </c>
      <c r="C34" s="11">
        <v>3290</v>
      </c>
      <c r="D34" s="11">
        <f t="shared" ref="D34:D65" si="4">C34-B34</f>
        <v>291</v>
      </c>
      <c r="E34" s="12">
        <v>0.09</v>
      </c>
      <c r="F34" s="12" t="str">
        <f t="shared" ref="F34:F65" si="5">IF(E34&lt;20%,"LOW DISCOUNT",IF(E34&lt;40%,"MEDIUM DISCOUNT","HIGH DISCOUNT"))</f>
        <v>LOW DISCOUNT</v>
      </c>
      <c r="G34" s="10">
        <v>15</v>
      </c>
      <c r="H34" s="13">
        <v>4</v>
      </c>
      <c r="I34" s="10" t="str">
        <f t="shared" ref="I34:I65" si="6">IF(ISBLANK(H34),"NOT PROVIDED",IF(H34&lt;3,"POOR",IF(H34&lt;4.5,"AVERAGE","EXCELLENT")))</f>
        <v>AVERAGE</v>
      </c>
      <c r="J34" s="10" t="str">
        <f t="shared" ref="J34:J65" si="7">IF(B34&lt;1000,"LOW PRICE",IF(B34&lt;2000,"MEDIUM PRICE","HIGH PRICE"))</f>
        <v>HIGH PRICE</v>
      </c>
    </row>
    <row r="35" spans="1:10" hidden="1" x14ac:dyDescent="0.35">
      <c r="A35" t="s">
        <v>33</v>
      </c>
      <c r="B35" s="11">
        <v>988</v>
      </c>
      <c r="C35" s="11">
        <v>1580</v>
      </c>
      <c r="D35" s="11">
        <f t="shared" si="4"/>
        <v>592</v>
      </c>
      <c r="E35" s="12">
        <v>0.37</v>
      </c>
      <c r="F35" s="12" t="str">
        <f t="shared" si="5"/>
        <v>MEDIUM DISCOUNT</v>
      </c>
      <c r="G35" s="10">
        <v>2</v>
      </c>
      <c r="H35" s="13">
        <v>4</v>
      </c>
      <c r="I35" s="10" t="str">
        <f t="shared" si="6"/>
        <v>AVERAGE</v>
      </c>
      <c r="J35" s="10" t="str">
        <f t="shared" si="7"/>
        <v>LOW PRICE</v>
      </c>
    </row>
    <row r="36" spans="1:10" hidden="1" x14ac:dyDescent="0.35">
      <c r="A36" t="s">
        <v>78</v>
      </c>
      <c r="B36" s="11">
        <v>880</v>
      </c>
      <c r="C36" s="11">
        <v>1350</v>
      </c>
      <c r="D36" s="11">
        <f t="shared" si="4"/>
        <v>470</v>
      </c>
      <c r="E36" s="12">
        <v>0.35</v>
      </c>
      <c r="F36" s="12" t="str">
        <f t="shared" si="5"/>
        <v>MEDIUM DISCOUNT</v>
      </c>
      <c r="G36" s="10">
        <v>6</v>
      </c>
      <c r="H36" s="13">
        <v>4</v>
      </c>
      <c r="I36" s="10" t="str">
        <f t="shared" si="6"/>
        <v>AVERAGE</v>
      </c>
      <c r="J36" s="10" t="str">
        <f t="shared" si="7"/>
        <v>LOW PRICE</v>
      </c>
    </row>
    <row r="37" spans="1:10" hidden="1" x14ac:dyDescent="0.35">
      <c r="A37" t="s">
        <v>253</v>
      </c>
      <c r="B37" s="11">
        <v>330</v>
      </c>
      <c r="C37" s="11">
        <v>647</v>
      </c>
      <c r="D37" s="11">
        <f t="shared" si="4"/>
        <v>317</v>
      </c>
      <c r="E37" s="12">
        <v>0.49</v>
      </c>
      <c r="F37" s="12" t="str">
        <f t="shared" si="5"/>
        <v>HIGH DISCOUNT</v>
      </c>
      <c r="G37" s="10">
        <v>1</v>
      </c>
      <c r="H37" s="13">
        <v>4</v>
      </c>
      <c r="I37" s="10" t="str">
        <f t="shared" si="6"/>
        <v>AVERAGE</v>
      </c>
      <c r="J37" s="10" t="str">
        <f t="shared" si="7"/>
        <v>LOW PRICE</v>
      </c>
    </row>
    <row r="38" spans="1:10" hidden="1" x14ac:dyDescent="0.35">
      <c r="A38" t="s">
        <v>38</v>
      </c>
      <c r="B38" s="11">
        <v>1600</v>
      </c>
      <c r="C38" s="11">
        <v>2929</v>
      </c>
      <c r="D38" s="11">
        <f t="shared" si="4"/>
        <v>1329</v>
      </c>
      <c r="E38" s="12">
        <v>0.45</v>
      </c>
      <c r="F38" s="12" t="str">
        <f t="shared" si="5"/>
        <v>HIGH DISCOUNT</v>
      </c>
      <c r="G38" s="10">
        <v>5</v>
      </c>
      <c r="H38" s="13">
        <v>3.8</v>
      </c>
      <c r="I38" s="10" t="str">
        <f t="shared" si="6"/>
        <v>AVERAGE</v>
      </c>
      <c r="J38" s="10" t="str">
        <f t="shared" si="7"/>
        <v>MEDIUM PRICE</v>
      </c>
    </row>
    <row r="39" spans="1:10" hidden="1" x14ac:dyDescent="0.35">
      <c r="A39" t="s">
        <v>92</v>
      </c>
      <c r="B39" s="11">
        <v>2880</v>
      </c>
      <c r="C39" s="11">
        <v>3520</v>
      </c>
      <c r="D39" s="11">
        <f t="shared" si="4"/>
        <v>640</v>
      </c>
      <c r="E39" s="12">
        <v>0.18</v>
      </c>
      <c r="F39" s="12" t="str">
        <f t="shared" si="5"/>
        <v>LOW DISCOUNT</v>
      </c>
      <c r="G39" s="10">
        <v>12</v>
      </c>
      <c r="H39" s="13">
        <v>3.8</v>
      </c>
      <c r="I39" s="10" t="str">
        <f t="shared" si="6"/>
        <v>AVERAGE</v>
      </c>
      <c r="J39" s="10" t="str">
        <f t="shared" si="7"/>
        <v>HIGH PRICE</v>
      </c>
    </row>
    <row r="40" spans="1:10" hidden="1" x14ac:dyDescent="0.35">
      <c r="A40" t="s">
        <v>95</v>
      </c>
      <c r="B40" s="11">
        <v>1350</v>
      </c>
      <c r="C40" s="11">
        <v>1990</v>
      </c>
      <c r="D40" s="11">
        <f t="shared" si="4"/>
        <v>640</v>
      </c>
      <c r="E40" s="12">
        <v>0.32</v>
      </c>
      <c r="F40" s="12" t="str">
        <f t="shared" si="5"/>
        <v>MEDIUM DISCOUNT</v>
      </c>
      <c r="G40" s="10">
        <v>13</v>
      </c>
      <c r="H40" s="13">
        <v>3.8</v>
      </c>
      <c r="I40" s="10" t="str">
        <f t="shared" si="6"/>
        <v>AVERAGE</v>
      </c>
      <c r="J40" s="10" t="str">
        <f t="shared" si="7"/>
        <v>MEDIUM PRICE</v>
      </c>
    </row>
    <row r="41" spans="1:10" x14ac:dyDescent="0.35">
      <c r="A41" t="s">
        <v>71</v>
      </c>
      <c r="B41" s="11">
        <v>38</v>
      </c>
      <c r="C41" s="11">
        <v>80</v>
      </c>
      <c r="D41" s="11">
        <f t="shared" si="4"/>
        <v>42</v>
      </c>
      <c r="E41" s="12">
        <v>0.53</v>
      </c>
      <c r="F41" s="12" t="str">
        <f t="shared" si="5"/>
        <v>HIGH DISCOUNT</v>
      </c>
      <c r="G41" s="10">
        <v>13</v>
      </c>
      <c r="H41" s="13">
        <v>3.3</v>
      </c>
      <c r="I41" s="10" t="str">
        <f t="shared" si="6"/>
        <v>AVERAGE</v>
      </c>
      <c r="J41" s="10" t="str">
        <f t="shared" si="7"/>
        <v>LOW PRICE</v>
      </c>
    </row>
    <row r="42" spans="1:10" x14ac:dyDescent="0.35">
      <c r="A42" t="s">
        <v>186</v>
      </c>
      <c r="B42" s="11">
        <v>458</v>
      </c>
      <c r="C42" s="11">
        <v>986</v>
      </c>
      <c r="D42" s="11">
        <f t="shared" si="4"/>
        <v>528</v>
      </c>
      <c r="E42" s="12">
        <v>0.54</v>
      </c>
      <c r="F42" s="12" t="str">
        <f t="shared" si="5"/>
        <v>HIGH DISCOUNT</v>
      </c>
      <c r="G42" s="10">
        <v>10</v>
      </c>
      <c r="H42" s="13">
        <v>3</v>
      </c>
      <c r="I42" s="10" t="str">
        <f t="shared" si="6"/>
        <v>AVERAGE</v>
      </c>
      <c r="J42" s="10" t="str">
        <f t="shared" si="7"/>
        <v>LOW PRICE</v>
      </c>
    </row>
    <row r="43" spans="1:10" hidden="1" x14ac:dyDescent="0.35">
      <c r="A43" t="s">
        <v>212</v>
      </c>
      <c r="B43" s="11">
        <v>3750</v>
      </c>
      <c r="C43" s="11">
        <v>6143</v>
      </c>
      <c r="D43" s="11">
        <f t="shared" si="4"/>
        <v>2393</v>
      </c>
      <c r="E43" s="12">
        <v>0.39</v>
      </c>
      <c r="F43" s="12" t="str">
        <f t="shared" si="5"/>
        <v>MEDIUM DISCOUNT</v>
      </c>
      <c r="G43" s="10">
        <v>5</v>
      </c>
      <c r="H43" s="13">
        <v>3</v>
      </c>
      <c r="I43" s="10" t="str">
        <f t="shared" si="6"/>
        <v>AVERAGE</v>
      </c>
      <c r="J43" s="10" t="str">
        <f t="shared" si="7"/>
        <v>HIGH PRICE</v>
      </c>
    </row>
    <row r="44" spans="1:10" hidden="1" x14ac:dyDescent="0.35">
      <c r="A44" t="s">
        <v>218</v>
      </c>
      <c r="B44" s="11">
        <v>2300</v>
      </c>
      <c r="C44" s="11">
        <v>3240</v>
      </c>
      <c r="D44" s="11">
        <f t="shared" si="4"/>
        <v>940</v>
      </c>
      <c r="E44" s="12">
        <v>0.28999999999999998</v>
      </c>
      <c r="F44" s="12" t="str">
        <f t="shared" si="5"/>
        <v>MEDIUM DISCOUNT</v>
      </c>
      <c r="G44" s="10">
        <v>5</v>
      </c>
      <c r="H44" s="13">
        <v>3</v>
      </c>
      <c r="I44" s="10" t="str">
        <f t="shared" si="6"/>
        <v>AVERAGE</v>
      </c>
      <c r="J44" s="10" t="str">
        <f t="shared" si="7"/>
        <v>HIGH PRICE</v>
      </c>
    </row>
    <row r="45" spans="1:10" hidden="1" x14ac:dyDescent="0.35">
      <c r="A45" t="s">
        <v>224</v>
      </c>
      <c r="B45" s="11">
        <v>509</v>
      </c>
      <c r="C45" s="11">
        <v>899</v>
      </c>
      <c r="D45" s="11">
        <f t="shared" si="4"/>
        <v>390</v>
      </c>
      <c r="E45" s="12">
        <v>0.43</v>
      </c>
      <c r="F45" s="12" t="str">
        <f t="shared" si="5"/>
        <v>HIGH DISCOUNT</v>
      </c>
      <c r="G45" s="10">
        <v>5</v>
      </c>
      <c r="H45" s="13">
        <v>3</v>
      </c>
      <c r="I45" s="10" t="str">
        <f t="shared" si="6"/>
        <v>AVERAGE</v>
      </c>
      <c r="J45" s="10" t="str">
        <f t="shared" si="7"/>
        <v>LOW PRICE</v>
      </c>
    </row>
    <row r="46" spans="1:10" hidden="1" x14ac:dyDescent="0.35">
      <c r="A46" t="s">
        <v>243</v>
      </c>
      <c r="B46" s="11">
        <v>1189</v>
      </c>
      <c r="C46" s="11">
        <v>2199</v>
      </c>
      <c r="D46" s="11">
        <f t="shared" si="4"/>
        <v>1010</v>
      </c>
      <c r="E46" s="12">
        <v>0.46</v>
      </c>
      <c r="F46" s="12" t="str">
        <f t="shared" si="5"/>
        <v>HIGH DISCOUNT</v>
      </c>
      <c r="G46" s="10">
        <v>1</v>
      </c>
      <c r="H46" s="13">
        <v>3</v>
      </c>
      <c r="I46" s="10" t="str">
        <f t="shared" si="6"/>
        <v>AVERAGE</v>
      </c>
      <c r="J46" s="10" t="str">
        <f t="shared" si="7"/>
        <v>MEDIUM PRICE</v>
      </c>
    </row>
    <row r="47" spans="1:10" hidden="1" x14ac:dyDescent="0.35">
      <c r="A47" t="s">
        <v>202</v>
      </c>
      <c r="B47" s="11">
        <v>1220</v>
      </c>
      <c r="C47" s="11">
        <v>1555</v>
      </c>
      <c r="D47" s="11">
        <f t="shared" si="4"/>
        <v>335</v>
      </c>
      <c r="E47" s="12">
        <v>0.22</v>
      </c>
      <c r="F47" s="12" t="str">
        <f t="shared" si="5"/>
        <v>MEDIUM DISCOUNT</v>
      </c>
      <c r="G47" s="10">
        <v>16</v>
      </c>
      <c r="H47" s="13">
        <v>2.9</v>
      </c>
      <c r="I47" s="10" t="str">
        <f t="shared" si="6"/>
        <v>POOR</v>
      </c>
      <c r="J47" s="10" t="str">
        <f t="shared" si="7"/>
        <v>MEDIUM PRICE</v>
      </c>
    </row>
    <row r="48" spans="1:10" hidden="1" x14ac:dyDescent="0.35">
      <c r="A48" t="s">
        <v>194</v>
      </c>
      <c r="B48" s="11">
        <v>445</v>
      </c>
      <c r="C48" s="11">
        <v>873</v>
      </c>
      <c r="D48" s="11">
        <f t="shared" si="4"/>
        <v>428</v>
      </c>
      <c r="E48" s="12">
        <v>0.49</v>
      </c>
      <c r="F48" s="12" t="str">
        <f t="shared" si="5"/>
        <v>HIGH DISCOUNT</v>
      </c>
      <c r="G48" s="10">
        <v>69</v>
      </c>
      <c r="H48" s="13">
        <v>2.8</v>
      </c>
      <c r="I48" s="10" t="str">
        <f t="shared" si="6"/>
        <v>POOR</v>
      </c>
      <c r="J48" s="10" t="str">
        <f t="shared" si="7"/>
        <v>LOW PRICE</v>
      </c>
    </row>
    <row r="49" spans="1:10" x14ac:dyDescent="0.35">
      <c r="A49" t="s">
        <v>198</v>
      </c>
      <c r="B49" s="11">
        <v>325</v>
      </c>
      <c r="C49" s="11">
        <v>680</v>
      </c>
      <c r="D49" s="11">
        <f t="shared" si="4"/>
        <v>355</v>
      </c>
      <c r="E49" s="12">
        <v>0.52</v>
      </c>
      <c r="F49" s="12" t="str">
        <f t="shared" si="5"/>
        <v>HIGH DISCOUNT</v>
      </c>
      <c r="G49" s="10">
        <v>15</v>
      </c>
      <c r="H49" s="13">
        <v>2.7</v>
      </c>
      <c r="I49" s="10" t="str">
        <f t="shared" si="6"/>
        <v>POOR</v>
      </c>
      <c r="J49" s="10" t="str">
        <f t="shared" si="7"/>
        <v>LOW PRICE</v>
      </c>
    </row>
    <row r="50" spans="1:10" hidden="1" x14ac:dyDescent="0.35">
      <c r="A50" t="s">
        <v>215</v>
      </c>
      <c r="B50" s="11">
        <v>382</v>
      </c>
      <c r="C50" s="11">
        <v>700</v>
      </c>
      <c r="D50" s="11">
        <f t="shared" si="4"/>
        <v>318</v>
      </c>
      <c r="E50" s="12">
        <v>0.45</v>
      </c>
      <c r="F50" s="12" t="str">
        <f t="shared" si="5"/>
        <v>HIGH DISCOUNT</v>
      </c>
      <c r="G50" s="10">
        <v>17</v>
      </c>
      <c r="H50" s="13">
        <v>2.6</v>
      </c>
      <c r="I50" s="10" t="str">
        <f t="shared" si="6"/>
        <v>POOR</v>
      </c>
      <c r="J50" s="10" t="str">
        <f t="shared" si="7"/>
        <v>LOW PRICE</v>
      </c>
    </row>
    <row r="51" spans="1:10" hidden="1" x14ac:dyDescent="0.35">
      <c r="A51" t="s">
        <v>182</v>
      </c>
      <c r="B51" s="11">
        <v>2170</v>
      </c>
      <c r="C51" s="11">
        <v>2500</v>
      </c>
      <c r="D51" s="11">
        <f t="shared" si="4"/>
        <v>330</v>
      </c>
      <c r="E51" s="12">
        <v>0.13</v>
      </c>
      <c r="F51" s="12" t="str">
        <f t="shared" si="5"/>
        <v>LOW DISCOUNT</v>
      </c>
      <c r="G51" s="10">
        <v>6</v>
      </c>
      <c r="H51" s="13">
        <v>2.5</v>
      </c>
      <c r="I51" s="10" t="str">
        <f t="shared" si="6"/>
        <v>POOR</v>
      </c>
      <c r="J51" s="10" t="str">
        <f t="shared" si="7"/>
        <v>HIGH PRICE</v>
      </c>
    </row>
    <row r="52" spans="1:10" hidden="1" x14ac:dyDescent="0.35">
      <c r="A52" t="s">
        <v>209</v>
      </c>
      <c r="B52" s="11">
        <v>1000</v>
      </c>
      <c r="C52" s="11">
        <v>2000</v>
      </c>
      <c r="D52" s="11">
        <f t="shared" si="4"/>
        <v>1000</v>
      </c>
      <c r="E52" s="12">
        <v>0.5</v>
      </c>
      <c r="F52" s="12" t="str">
        <f t="shared" si="5"/>
        <v>HIGH DISCOUNT</v>
      </c>
      <c r="G52" s="10">
        <v>7</v>
      </c>
      <c r="H52" s="13">
        <v>2.2999999999999998</v>
      </c>
      <c r="I52" s="10" t="str">
        <f t="shared" si="6"/>
        <v>POOR</v>
      </c>
      <c r="J52" s="10" t="str">
        <f t="shared" si="7"/>
        <v>MEDIUM PRICE</v>
      </c>
    </row>
    <row r="53" spans="1:10" hidden="1" x14ac:dyDescent="0.35">
      <c r="A53" t="s">
        <v>221</v>
      </c>
      <c r="B53" s="11">
        <v>345</v>
      </c>
      <c r="C53" s="11">
        <v>602</v>
      </c>
      <c r="D53" s="11">
        <f t="shared" si="4"/>
        <v>257</v>
      </c>
      <c r="E53" s="12">
        <v>0.43</v>
      </c>
      <c r="F53" s="12" t="str">
        <f t="shared" si="5"/>
        <v>HIGH DISCOUNT</v>
      </c>
      <c r="G53" s="10">
        <v>6</v>
      </c>
      <c r="H53" s="13">
        <v>2.2999999999999998</v>
      </c>
      <c r="I53" s="10" t="str">
        <f t="shared" si="6"/>
        <v>POOR</v>
      </c>
      <c r="J53" s="10" t="str">
        <f t="shared" si="7"/>
        <v>LOW PRICE</v>
      </c>
    </row>
    <row r="54" spans="1:10" hidden="1" x14ac:dyDescent="0.35">
      <c r="A54" t="s">
        <v>206</v>
      </c>
      <c r="B54" s="11">
        <v>990</v>
      </c>
      <c r="C54" s="11">
        <v>1814</v>
      </c>
      <c r="D54" s="11">
        <f t="shared" si="4"/>
        <v>824</v>
      </c>
      <c r="E54" s="12">
        <v>0.45</v>
      </c>
      <c r="F54" s="12" t="str">
        <f t="shared" si="5"/>
        <v>HIGH DISCOUNT</v>
      </c>
      <c r="G54" s="10">
        <v>6</v>
      </c>
      <c r="H54" s="13">
        <v>2.2000000000000002</v>
      </c>
      <c r="I54" s="10" t="str">
        <f t="shared" si="6"/>
        <v>POOR</v>
      </c>
      <c r="J54" s="10" t="str">
        <f t="shared" si="7"/>
        <v>LOW PRICE</v>
      </c>
    </row>
    <row r="55" spans="1:10" hidden="1" x14ac:dyDescent="0.35">
      <c r="A55" t="s">
        <v>227</v>
      </c>
      <c r="B55" s="11">
        <v>968</v>
      </c>
      <c r="C55" s="11">
        <v>1814</v>
      </c>
      <c r="D55" s="11">
        <f t="shared" si="4"/>
        <v>846</v>
      </c>
      <c r="E55" s="12">
        <v>0.47</v>
      </c>
      <c r="F55" s="12" t="str">
        <f t="shared" si="5"/>
        <v>HIGH DISCOUNT</v>
      </c>
      <c r="G55" s="10">
        <v>6</v>
      </c>
      <c r="H55" s="13">
        <v>2.2000000000000002</v>
      </c>
      <c r="I55" s="10" t="str">
        <f t="shared" si="6"/>
        <v>POOR</v>
      </c>
      <c r="J55" s="10" t="str">
        <f t="shared" si="7"/>
        <v>LOW PRICE</v>
      </c>
    </row>
    <row r="56" spans="1:10" x14ac:dyDescent="0.35">
      <c r="A56" t="s">
        <v>190</v>
      </c>
      <c r="B56" s="11">
        <v>2115</v>
      </c>
      <c r="C56" s="11">
        <v>4700</v>
      </c>
      <c r="D56" s="11">
        <f t="shared" si="4"/>
        <v>2585</v>
      </c>
      <c r="E56" s="12">
        <v>0.55000000000000004</v>
      </c>
      <c r="F56" s="12" t="str">
        <f t="shared" si="5"/>
        <v>HIGH DISCOUNT</v>
      </c>
      <c r="G56" s="10">
        <v>13</v>
      </c>
      <c r="H56" s="13">
        <v>2.1</v>
      </c>
      <c r="I56" s="10" t="str">
        <f t="shared" si="6"/>
        <v>POOR</v>
      </c>
      <c r="J56" s="10" t="str">
        <f t="shared" si="7"/>
        <v>HIGH PRICE</v>
      </c>
    </row>
    <row r="57" spans="1:10" hidden="1" x14ac:dyDescent="0.35">
      <c r="A57" t="s">
        <v>229</v>
      </c>
      <c r="B57" s="11">
        <v>1570</v>
      </c>
      <c r="C57" s="11">
        <v>2988</v>
      </c>
      <c r="D57" s="11">
        <f t="shared" si="4"/>
        <v>1418</v>
      </c>
      <c r="E57" s="12">
        <v>0.47</v>
      </c>
      <c r="F57" s="12" t="str">
        <f t="shared" si="5"/>
        <v>HIGH DISCOUNT</v>
      </c>
      <c r="G57" s="10">
        <v>7</v>
      </c>
      <c r="H57" s="13">
        <v>2.1</v>
      </c>
      <c r="I57" s="10" t="str">
        <f t="shared" si="6"/>
        <v>POOR</v>
      </c>
      <c r="J57" s="10" t="str">
        <f t="shared" si="7"/>
        <v>MEDIUM PRICE</v>
      </c>
    </row>
    <row r="58" spans="1:10" hidden="1" x14ac:dyDescent="0.35">
      <c r="A58" t="s">
        <v>318</v>
      </c>
      <c r="B58" s="11">
        <v>450</v>
      </c>
      <c r="C58" s="11">
        <v>900</v>
      </c>
      <c r="D58" s="11">
        <f t="shared" si="4"/>
        <v>450</v>
      </c>
      <c r="E58" s="12">
        <v>0.5</v>
      </c>
      <c r="F58" s="12" t="str">
        <f t="shared" si="5"/>
        <v>HIGH DISCOUNT</v>
      </c>
      <c r="G58" s="10">
        <v>1</v>
      </c>
      <c r="H58" s="13">
        <v>2</v>
      </c>
      <c r="I58" s="10" t="str">
        <f t="shared" si="6"/>
        <v>POOR</v>
      </c>
      <c r="J58" s="10" t="str">
        <f t="shared" si="7"/>
        <v>LOW PRICE</v>
      </c>
    </row>
    <row r="59" spans="1:10" hidden="1" x14ac:dyDescent="0.35">
      <c r="A59" t="s">
        <v>75</v>
      </c>
      <c r="B59" s="11">
        <v>1860</v>
      </c>
      <c r="C59" s="11">
        <v>3220</v>
      </c>
      <c r="D59" s="11">
        <f t="shared" si="4"/>
        <v>1360</v>
      </c>
      <c r="E59" s="12">
        <v>0.42</v>
      </c>
      <c r="F59" s="12" t="str">
        <f t="shared" si="5"/>
        <v>HIGH DISCOUNT</v>
      </c>
      <c r="G59" s="10"/>
      <c r="H59" s="13"/>
      <c r="I59" s="10" t="str">
        <f t="shared" si="6"/>
        <v>NOT PROVIDED</v>
      </c>
      <c r="J59" s="10" t="str">
        <f t="shared" si="7"/>
        <v>MEDIUM PRICE</v>
      </c>
    </row>
    <row r="60" spans="1:10" hidden="1" x14ac:dyDescent="0.35">
      <c r="A60" t="s">
        <v>99</v>
      </c>
      <c r="B60" s="11">
        <v>2200</v>
      </c>
      <c r="C60" s="11">
        <v>4080</v>
      </c>
      <c r="D60" s="11">
        <f t="shared" si="4"/>
        <v>1880</v>
      </c>
      <c r="E60" s="12">
        <v>0.46</v>
      </c>
      <c r="F60" s="12" t="str">
        <f t="shared" si="5"/>
        <v>HIGH DISCOUNT</v>
      </c>
      <c r="G60" s="10"/>
      <c r="H60" s="13"/>
      <c r="I60" s="10" t="str">
        <f t="shared" si="6"/>
        <v>NOT PROVIDED</v>
      </c>
      <c r="J60" s="10" t="str">
        <f t="shared" si="7"/>
        <v>HIGH PRICE</v>
      </c>
    </row>
    <row r="61" spans="1:10" hidden="1" x14ac:dyDescent="0.35">
      <c r="A61" t="s">
        <v>333</v>
      </c>
      <c r="B61" s="11">
        <v>1980</v>
      </c>
      <c r="C61" s="11">
        <v>3200</v>
      </c>
      <c r="D61" s="11">
        <f t="shared" si="4"/>
        <v>1220</v>
      </c>
      <c r="E61" s="12">
        <v>0.38</v>
      </c>
      <c r="F61" s="12" t="str">
        <f t="shared" si="5"/>
        <v>MEDIUM DISCOUNT</v>
      </c>
      <c r="G61" s="10"/>
      <c r="H61" s="13"/>
      <c r="I61" s="10" t="str">
        <f t="shared" si="6"/>
        <v>NOT PROVIDED</v>
      </c>
      <c r="J61" s="10" t="str">
        <f t="shared" si="7"/>
        <v>MEDIUM PRICE</v>
      </c>
    </row>
    <row r="62" spans="1:10" hidden="1" x14ac:dyDescent="0.35">
      <c r="A62" t="s">
        <v>128</v>
      </c>
      <c r="B62" s="11">
        <v>2750</v>
      </c>
      <c r="C62" s="11">
        <v>4471</v>
      </c>
      <c r="D62" s="11">
        <f t="shared" si="4"/>
        <v>1721</v>
      </c>
      <c r="E62" s="12">
        <v>0.38</v>
      </c>
      <c r="F62" s="12" t="str">
        <f t="shared" si="5"/>
        <v>MEDIUM DISCOUNT</v>
      </c>
      <c r="G62" s="10"/>
      <c r="H62" s="13"/>
      <c r="I62" s="10" t="str">
        <f t="shared" si="6"/>
        <v>NOT PROVIDED</v>
      </c>
      <c r="J62" s="10" t="str">
        <f t="shared" si="7"/>
        <v>HIGH PRICE</v>
      </c>
    </row>
    <row r="63" spans="1:10" hidden="1" x14ac:dyDescent="0.35">
      <c r="A63" t="s">
        <v>131</v>
      </c>
      <c r="B63" s="11">
        <v>475</v>
      </c>
      <c r="C63" s="11">
        <v>931</v>
      </c>
      <c r="D63" s="11">
        <f t="shared" si="4"/>
        <v>456</v>
      </c>
      <c r="E63" s="12">
        <v>0.49</v>
      </c>
      <c r="F63" s="12" t="str">
        <f t="shared" si="5"/>
        <v>HIGH DISCOUNT</v>
      </c>
      <c r="G63" s="10"/>
      <c r="H63" s="13"/>
      <c r="I63" s="10" t="str">
        <f t="shared" si="6"/>
        <v>NOT PROVIDED</v>
      </c>
      <c r="J63" s="10" t="str">
        <f t="shared" si="7"/>
        <v>LOW PRICE</v>
      </c>
    </row>
    <row r="64" spans="1:10" hidden="1" x14ac:dyDescent="0.35">
      <c r="A64" t="s">
        <v>134</v>
      </c>
      <c r="B64" s="11">
        <v>238</v>
      </c>
      <c r="C64" s="11">
        <v>476</v>
      </c>
      <c r="D64" s="11">
        <f t="shared" si="4"/>
        <v>238</v>
      </c>
      <c r="E64" s="12">
        <v>0.5</v>
      </c>
      <c r="F64" s="12" t="str">
        <f t="shared" si="5"/>
        <v>HIGH DISCOUNT</v>
      </c>
      <c r="G64" s="10"/>
      <c r="H64" s="13"/>
      <c r="I64" s="10" t="str">
        <f t="shared" si="6"/>
        <v>NOT PROVIDED</v>
      </c>
      <c r="J64" s="10" t="str">
        <f t="shared" si="7"/>
        <v>LOW PRICE</v>
      </c>
    </row>
    <row r="65" spans="1:10" hidden="1" x14ac:dyDescent="0.35">
      <c r="A65" t="s">
        <v>137</v>
      </c>
      <c r="B65" s="11">
        <v>610</v>
      </c>
      <c r="C65" s="11">
        <v>1060</v>
      </c>
      <c r="D65" s="11">
        <f t="shared" si="4"/>
        <v>450</v>
      </c>
      <c r="E65" s="12">
        <v>0.42</v>
      </c>
      <c r="F65" s="12" t="str">
        <f t="shared" si="5"/>
        <v>HIGH DISCOUNT</v>
      </c>
      <c r="G65" s="10"/>
      <c r="H65" s="13"/>
      <c r="I65" s="10" t="str">
        <f t="shared" si="6"/>
        <v>NOT PROVIDED</v>
      </c>
      <c r="J65" s="10" t="str">
        <f t="shared" si="7"/>
        <v>LOW PRICE</v>
      </c>
    </row>
    <row r="66" spans="1:10" hidden="1" x14ac:dyDescent="0.35">
      <c r="A66" t="s">
        <v>140</v>
      </c>
      <c r="B66" s="11">
        <v>2132</v>
      </c>
      <c r="C66" s="11">
        <v>2169</v>
      </c>
      <c r="D66" s="11">
        <f t="shared" ref="D66:D97" si="8">C66-B66</f>
        <v>37</v>
      </c>
      <c r="E66" s="12">
        <v>0.02</v>
      </c>
      <c r="F66" s="12" t="str">
        <f t="shared" ref="F66:F97" si="9">IF(E66&lt;20%,"LOW DISCOUNT",IF(E66&lt;40%,"MEDIUM DISCOUNT","HIGH DISCOUNT"))</f>
        <v>LOW DISCOUNT</v>
      </c>
      <c r="G66" s="10"/>
      <c r="H66" s="13"/>
      <c r="I66" s="10" t="str">
        <f t="shared" ref="I66:I97" si="10">IF(ISBLANK(H66),"NOT PROVIDED",IF(H66&lt;3,"POOR",IF(H66&lt;4.5,"AVERAGE","EXCELLENT")))</f>
        <v>NOT PROVIDED</v>
      </c>
      <c r="J66" s="10" t="str">
        <f t="shared" ref="J66:J97" si="11">IF(B66&lt;1000,"LOW PRICE",IF(B66&lt;2000,"MEDIUM PRICE","HIGH PRICE"))</f>
        <v>HIGH PRICE</v>
      </c>
    </row>
    <row r="67" spans="1:10" hidden="1" x14ac:dyDescent="0.35">
      <c r="A67" t="s">
        <v>143</v>
      </c>
      <c r="B67" s="11">
        <v>999</v>
      </c>
      <c r="C67" s="11">
        <v>2000</v>
      </c>
      <c r="D67" s="11">
        <f t="shared" si="8"/>
        <v>1001</v>
      </c>
      <c r="E67" s="12">
        <v>0.5</v>
      </c>
      <c r="F67" s="12" t="str">
        <f t="shared" si="9"/>
        <v>HIGH DISCOUNT</v>
      </c>
      <c r="G67" s="10"/>
      <c r="H67" s="13"/>
      <c r="I67" s="10" t="str">
        <f t="shared" si="10"/>
        <v>NOT PROVIDED</v>
      </c>
      <c r="J67" s="10" t="str">
        <f t="shared" si="11"/>
        <v>LOW PRICE</v>
      </c>
    </row>
    <row r="68" spans="1:10" hidden="1" x14ac:dyDescent="0.35">
      <c r="A68" t="s">
        <v>145</v>
      </c>
      <c r="B68" s="11">
        <v>1190</v>
      </c>
      <c r="C68" s="11">
        <v>1785</v>
      </c>
      <c r="D68" s="11">
        <f t="shared" si="8"/>
        <v>595</v>
      </c>
      <c r="E68" s="12">
        <v>0.33</v>
      </c>
      <c r="F68" s="12" t="str">
        <f t="shared" si="9"/>
        <v>MEDIUM DISCOUNT</v>
      </c>
      <c r="G68" s="10"/>
      <c r="H68" s="13"/>
      <c r="I68" s="10" t="str">
        <f t="shared" si="10"/>
        <v>NOT PROVIDED</v>
      </c>
      <c r="J68" s="10" t="str">
        <f t="shared" si="11"/>
        <v>MEDIUM PRICE</v>
      </c>
    </row>
    <row r="69" spans="1:10" hidden="1" x14ac:dyDescent="0.35">
      <c r="A69" t="s">
        <v>148</v>
      </c>
      <c r="B69" s="11">
        <v>671</v>
      </c>
      <c r="C69" s="11">
        <v>1316</v>
      </c>
      <c r="D69" s="11">
        <f t="shared" si="8"/>
        <v>645</v>
      </c>
      <c r="E69" s="12">
        <v>0.49</v>
      </c>
      <c r="F69" s="12" t="str">
        <f t="shared" si="9"/>
        <v>HIGH DISCOUNT</v>
      </c>
      <c r="G69" s="10"/>
      <c r="H69" s="13"/>
      <c r="I69" s="10" t="str">
        <f t="shared" si="10"/>
        <v>NOT PROVIDED</v>
      </c>
      <c r="J69" s="10" t="str">
        <f t="shared" si="11"/>
        <v>LOW PRICE</v>
      </c>
    </row>
    <row r="70" spans="1:10" hidden="1" x14ac:dyDescent="0.35">
      <c r="A70" t="s">
        <v>151</v>
      </c>
      <c r="B70" s="11">
        <v>1200</v>
      </c>
      <c r="C70" s="11">
        <v>1950</v>
      </c>
      <c r="D70" s="11">
        <f t="shared" si="8"/>
        <v>750</v>
      </c>
      <c r="E70" s="12">
        <v>0.38</v>
      </c>
      <c r="F70" s="12" t="str">
        <f t="shared" si="9"/>
        <v>MEDIUM DISCOUNT</v>
      </c>
      <c r="G70" s="10"/>
      <c r="H70" s="13"/>
      <c r="I70" s="10" t="str">
        <f t="shared" si="10"/>
        <v>NOT PROVIDED</v>
      </c>
      <c r="J70" s="10" t="str">
        <f t="shared" si="11"/>
        <v>MEDIUM PRICE</v>
      </c>
    </row>
    <row r="71" spans="1:10" x14ac:dyDescent="0.35">
      <c r="A71" t="s">
        <v>154</v>
      </c>
      <c r="B71" s="11">
        <v>199</v>
      </c>
      <c r="C71" s="11">
        <v>504</v>
      </c>
      <c r="D71" s="11">
        <f t="shared" si="8"/>
        <v>305</v>
      </c>
      <c r="E71" s="12">
        <v>0.61</v>
      </c>
      <c r="F71" s="12" t="str">
        <f t="shared" si="9"/>
        <v>HIGH DISCOUNT</v>
      </c>
      <c r="G71" s="10"/>
      <c r="H71" s="13"/>
      <c r="I71" s="10" t="str">
        <f t="shared" si="10"/>
        <v>NOT PROVIDED</v>
      </c>
      <c r="J71" s="10" t="str">
        <f t="shared" si="11"/>
        <v>LOW PRICE</v>
      </c>
    </row>
    <row r="72" spans="1:10" hidden="1" x14ac:dyDescent="0.35">
      <c r="A72" t="s">
        <v>157</v>
      </c>
      <c r="B72" s="11">
        <v>299</v>
      </c>
      <c r="C72" s="11">
        <v>600</v>
      </c>
      <c r="D72" s="11">
        <f t="shared" si="8"/>
        <v>301</v>
      </c>
      <c r="E72" s="12">
        <v>0.5</v>
      </c>
      <c r="F72" s="12" t="str">
        <f t="shared" si="9"/>
        <v>HIGH DISCOUNT</v>
      </c>
      <c r="G72" s="10"/>
      <c r="H72" s="13"/>
      <c r="I72" s="10" t="str">
        <f t="shared" si="10"/>
        <v>NOT PROVIDED</v>
      </c>
      <c r="J72" s="10" t="str">
        <f t="shared" si="11"/>
        <v>LOW PRICE</v>
      </c>
    </row>
    <row r="73" spans="1:10" hidden="1" x14ac:dyDescent="0.35">
      <c r="A73" t="s">
        <v>160</v>
      </c>
      <c r="B73" s="11">
        <v>1660</v>
      </c>
      <c r="C73" s="11">
        <v>1699</v>
      </c>
      <c r="D73" s="11">
        <f t="shared" si="8"/>
        <v>39</v>
      </c>
      <c r="E73" s="12">
        <v>0.02</v>
      </c>
      <c r="F73" s="12" t="str">
        <f t="shared" si="9"/>
        <v>LOW DISCOUNT</v>
      </c>
      <c r="G73" s="10"/>
      <c r="H73" s="13"/>
      <c r="I73" s="10" t="str">
        <f t="shared" si="10"/>
        <v>NOT PROVIDED</v>
      </c>
      <c r="J73" s="10" t="str">
        <f t="shared" si="11"/>
        <v>MEDIUM PRICE</v>
      </c>
    </row>
    <row r="74" spans="1:10" hidden="1" x14ac:dyDescent="0.35">
      <c r="A74" t="s">
        <v>163</v>
      </c>
      <c r="B74" s="11">
        <v>299</v>
      </c>
      <c r="C74" s="11">
        <v>384</v>
      </c>
      <c r="D74" s="11">
        <f t="shared" si="8"/>
        <v>85</v>
      </c>
      <c r="E74" s="12">
        <v>0.22</v>
      </c>
      <c r="F74" s="12" t="str">
        <f t="shared" si="9"/>
        <v>MEDIUM DISCOUNT</v>
      </c>
      <c r="G74" s="10"/>
      <c r="H74" s="13"/>
      <c r="I74" s="10" t="str">
        <f t="shared" si="10"/>
        <v>NOT PROVIDED</v>
      </c>
      <c r="J74" s="10" t="str">
        <f t="shared" si="11"/>
        <v>LOW PRICE</v>
      </c>
    </row>
    <row r="75" spans="1:10" hidden="1" x14ac:dyDescent="0.35">
      <c r="A75" t="s">
        <v>165</v>
      </c>
      <c r="B75" s="11">
        <v>1459</v>
      </c>
      <c r="C75" s="11">
        <v>1499</v>
      </c>
      <c r="D75" s="11">
        <f t="shared" si="8"/>
        <v>40</v>
      </c>
      <c r="E75" s="12">
        <v>0.03</v>
      </c>
      <c r="F75" s="12" t="str">
        <f t="shared" si="9"/>
        <v>LOW DISCOUNT</v>
      </c>
      <c r="G75" s="10"/>
      <c r="H75" s="13"/>
      <c r="I75" s="10" t="str">
        <f t="shared" si="10"/>
        <v>NOT PROVIDED</v>
      </c>
      <c r="J75" s="10" t="str">
        <f t="shared" si="11"/>
        <v>MEDIUM PRICE</v>
      </c>
    </row>
    <row r="76" spans="1:10" hidden="1" x14ac:dyDescent="0.35">
      <c r="A76" t="s">
        <v>168</v>
      </c>
      <c r="B76" s="11">
        <v>799</v>
      </c>
      <c r="C76" s="11">
        <v>1343</v>
      </c>
      <c r="D76" s="11">
        <f t="shared" si="8"/>
        <v>544</v>
      </c>
      <c r="E76" s="12">
        <v>0.41</v>
      </c>
      <c r="F76" s="12" t="str">
        <f t="shared" si="9"/>
        <v>HIGH DISCOUNT</v>
      </c>
      <c r="G76" s="10"/>
      <c r="H76" s="13"/>
      <c r="I76" s="10" t="str">
        <f t="shared" si="10"/>
        <v>NOT PROVIDED</v>
      </c>
      <c r="J76" s="10" t="str">
        <f t="shared" si="11"/>
        <v>LOW PRICE</v>
      </c>
    </row>
    <row r="77" spans="1:10" hidden="1" x14ac:dyDescent="0.35">
      <c r="A77" t="s">
        <v>170</v>
      </c>
      <c r="B77" s="11">
        <v>499</v>
      </c>
      <c r="C77" s="11">
        <v>900</v>
      </c>
      <c r="D77" s="11">
        <f t="shared" si="8"/>
        <v>401</v>
      </c>
      <c r="E77" s="12">
        <v>0.45</v>
      </c>
      <c r="F77" s="12" t="str">
        <f t="shared" si="9"/>
        <v>HIGH DISCOUNT</v>
      </c>
      <c r="G77" s="10"/>
      <c r="H77" s="13"/>
      <c r="I77" s="10" t="str">
        <f t="shared" si="10"/>
        <v>NOT PROVIDED</v>
      </c>
      <c r="J77" s="10" t="str">
        <f t="shared" si="11"/>
        <v>LOW PRICE</v>
      </c>
    </row>
    <row r="78" spans="1:10" hidden="1" x14ac:dyDescent="0.35">
      <c r="A78" t="s">
        <v>173</v>
      </c>
      <c r="B78" s="11">
        <v>699</v>
      </c>
      <c r="C78" s="11">
        <v>1343</v>
      </c>
      <c r="D78" s="11">
        <f t="shared" si="8"/>
        <v>644</v>
      </c>
      <c r="E78" s="12">
        <v>0.48</v>
      </c>
      <c r="F78" s="12" t="str">
        <f t="shared" si="9"/>
        <v>HIGH DISCOUNT</v>
      </c>
      <c r="G78" s="10"/>
      <c r="H78" s="13"/>
      <c r="I78" s="10" t="str">
        <f t="shared" si="10"/>
        <v>NOT PROVIDED</v>
      </c>
      <c r="J78" s="10" t="str">
        <f t="shared" si="11"/>
        <v>LOW PRICE</v>
      </c>
    </row>
    <row r="79" spans="1:10" hidden="1" x14ac:dyDescent="0.35">
      <c r="A79" t="s">
        <v>175</v>
      </c>
      <c r="B79" s="11">
        <v>799</v>
      </c>
      <c r="C79" s="11">
        <v>1567</v>
      </c>
      <c r="D79" s="11">
        <f t="shared" si="8"/>
        <v>768</v>
      </c>
      <c r="E79" s="12">
        <v>0.49</v>
      </c>
      <c r="F79" s="12" t="str">
        <f t="shared" si="9"/>
        <v>HIGH DISCOUNT</v>
      </c>
      <c r="G79" s="10"/>
      <c r="H79" s="13"/>
      <c r="I79" s="10" t="str">
        <f t="shared" si="10"/>
        <v>NOT PROVIDED</v>
      </c>
      <c r="J79" s="10" t="str">
        <f t="shared" si="11"/>
        <v>LOW PRICE</v>
      </c>
    </row>
    <row r="80" spans="1:10" hidden="1" x14ac:dyDescent="0.35">
      <c r="A80" t="s">
        <v>177</v>
      </c>
      <c r="B80" s="11">
        <v>2799</v>
      </c>
      <c r="C80" s="11">
        <v>3810</v>
      </c>
      <c r="D80" s="11">
        <f t="shared" si="8"/>
        <v>1011</v>
      </c>
      <c r="E80" s="12">
        <v>0.27</v>
      </c>
      <c r="F80" s="12" t="str">
        <f t="shared" si="9"/>
        <v>MEDIUM DISCOUNT</v>
      </c>
      <c r="G80" s="10"/>
      <c r="H80" s="13"/>
      <c r="I80" s="10" t="str">
        <f t="shared" si="10"/>
        <v>NOT PROVIDED</v>
      </c>
      <c r="J80" s="10" t="str">
        <f t="shared" si="11"/>
        <v>HIGH PRICE</v>
      </c>
    </row>
    <row r="81" spans="1:10" x14ac:dyDescent="0.35">
      <c r="A81" t="s">
        <v>170</v>
      </c>
      <c r="B81" s="11">
        <v>399</v>
      </c>
      <c r="C81" s="11">
        <v>896</v>
      </c>
      <c r="D81" s="11">
        <f t="shared" si="8"/>
        <v>497</v>
      </c>
      <c r="E81" s="12">
        <v>0.55000000000000004</v>
      </c>
      <c r="F81" s="12" t="str">
        <f t="shared" si="9"/>
        <v>HIGH DISCOUNT</v>
      </c>
      <c r="G81" s="10"/>
      <c r="H81" s="13"/>
      <c r="I81" s="10" t="str">
        <f t="shared" si="10"/>
        <v>NOT PROVIDED</v>
      </c>
      <c r="J81" s="10" t="str">
        <f t="shared" si="11"/>
        <v>LOW PRICE</v>
      </c>
    </row>
    <row r="82" spans="1:10" hidden="1" x14ac:dyDescent="0.35">
      <c r="A82" t="s">
        <v>232</v>
      </c>
      <c r="B82" s="11">
        <v>790</v>
      </c>
      <c r="C82" s="11">
        <v>1485</v>
      </c>
      <c r="D82" s="11">
        <f t="shared" si="8"/>
        <v>695</v>
      </c>
      <c r="E82" s="12">
        <v>0.47</v>
      </c>
      <c r="F82" s="12" t="str">
        <f t="shared" si="9"/>
        <v>HIGH DISCOUNT</v>
      </c>
      <c r="G82" s="10"/>
      <c r="H82" s="13"/>
      <c r="I82" s="10" t="str">
        <f t="shared" si="10"/>
        <v>NOT PROVIDED</v>
      </c>
      <c r="J82" s="10" t="str">
        <f t="shared" si="11"/>
        <v>LOW PRICE</v>
      </c>
    </row>
    <row r="83" spans="1:10" hidden="1" x14ac:dyDescent="0.35">
      <c r="A83" t="s">
        <v>235</v>
      </c>
      <c r="B83" s="11">
        <v>690</v>
      </c>
      <c r="C83" s="11">
        <v>1200</v>
      </c>
      <c r="D83" s="11">
        <f t="shared" si="8"/>
        <v>510</v>
      </c>
      <c r="E83" s="12">
        <v>0.43</v>
      </c>
      <c r="F83" s="12" t="str">
        <f t="shared" si="9"/>
        <v>HIGH DISCOUNT</v>
      </c>
      <c r="G83" s="10"/>
      <c r="H83" s="13"/>
      <c r="I83" s="10" t="str">
        <f t="shared" si="10"/>
        <v>NOT PROVIDED</v>
      </c>
      <c r="J83" s="10" t="str">
        <f t="shared" si="11"/>
        <v>LOW PRICE</v>
      </c>
    </row>
    <row r="84" spans="1:10" hidden="1" x14ac:dyDescent="0.35">
      <c r="A84" t="s">
        <v>237</v>
      </c>
      <c r="B84" s="11">
        <v>1732</v>
      </c>
      <c r="C84" s="11">
        <v>1799</v>
      </c>
      <c r="D84" s="11">
        <f t="shared" si="8"/>
        <v>67</v>
      </c>
      <c r="E84" s="12">
        <v>0.04</v>
      </c>
      <c r="F84" s="12" t="str">
        <f t="shared" si="9"/>
        <v>LOW DISCOUNT</v>
      </c>
      <c r="G84" s="10"/>
      <c r="H84" s="13"/>
      <c r="I84" s="10" t="str">
        <f t="shared" si="10"/>
        <v>NOT PROVIDED</v>
      </c>
      <c r="J84" s="10" t="str">
        <f t="shared" si="11"/>
        <v>MEDIUM PRICE</v>
      </c>
    </row>
    <row r="85" spans="1:10" hidden="1" x14ac:dyDescent="0.35">
      <c r="A85" t="s">
        <v>240</v>
      </c>
      <c r="B85" s="11">
        <v>230</v>
      </c>
      <c r="C85" s="11">
        <v>450</v>
      </c>
      <c r="D85" s="11">
        <f t="shared" si="8"/>
        <v>220</v>
      </c>
      <c r="E85" s="12">
        <v>0.49</v>
      </c>
      <c r="F85" s="12" t="str">
        <f t="shared" si="9"/>
        <v>HIGH DISCOUNT</v>
      </c>
      <c r="G85" s="10"/>
      <c r="H85" s="13"/>
      <c r="I85" s="10" t="str">
        <f t="shared" si="10"/>
        <v>NOT PROVIDED</v>
      </c>
      <c r="J85" s="10" t="str">
        <f t="shared" si="11"/>
        <v>LOW PRICE</v>
      </c>
    </row>
    <row r="86" spans="1:10" hidden="1" x14ac:dyDescent="0.35">
      <c r="A86" t="s">
        <v>248</v>
      </c>
      <c r="B86" s="11">
        <v>1460</v>
      </c>
      <c r="C86" s="11">
        <v>2290</v>
      </c>
      <c r="D86" s="11">
        <f t="shared" si="8"/>
        <v>830</v>
      </c>
      <c r="E86" s="12">
        <v>0.36</v>
      </c>
      <c r="F86" s="12" t="str">
        <f t="shared" si="9"/>
        <v>MEDIUM DISCOUNT</v>
      </c>
      <c r="G86" s="10"/>
      <c r="H86" s="13"/>
      <c r="I86" s="10" t="str">
        <f t="shared" si="10"/>
        <v>NOT PROVIDED</v>
      </c>
      <c r="J86" s="10" t="str">
        <f t="shared" si="11"/>
        <v>MEDIUM PRICE</v>
      </c>
    </row>
    <row r="87" spans="1:10" hidden="1" x14ac:dyDescent="0.35">
      <c r="A87" t="s">
        <v>251</v>
      </c>
      <c r="B87" s="11">
        <v>1666</v>
      </c>
      <c r="C87" s="11">
        <v>1699</v>
      </c>
      <c r="D87" s="11">
        <f t="shared" si="8"/>
        <v>33</v>
      </c>
      <c r="E87" s="12">
        <v>0.02</v>
      </c>
      <c r="F87" s="12" t="str">
        <f t="shared" si="9"/>
        <v>LOW DISCOUNT</v>
      </c>
      <c r="G87" s="10"/>
      <c r="H87" s="13"/>
      <c r="I87" s="10" t="str">
        <f t="shared" si="10"/>
        <v>NOT PROVIDED</v>
      </c>
      <c r="J87" s="10" t="str">
        <f t="shared" si="11"/>
        <v>MEDIUM PRICE</v>
      </c>
    </row>
    <row r="88" spans="1:10" hidden="1" x14ac:dyDescent="0.35">
      <c r="A88" t="s">
        <v>154</v>
      </c>
      <c r="B88" s="11">
        <v>176</v>
      </c>
      <c r="C88" s="11">
        <v>345</v>
      </c>
      <c r="D88" s="11">
        <f t="shared" si="8"/>
        <v>169</v>
      </c>
      <c r="E88" s="12">
        <v>0.49</v>
      </c>
      <c r="F88" s="12" t="str">
        <f t="shared" si="9"/>
        <v>HIGH DISCOUNT</v>
      </c>
      <c r="G88" s="10"/>
      <c r="H88" s="13"/>
      <c r="I88" s="10" t="str">
        <f t="shared" si="10"/>
        <v>NOT PROVIDED</v>
      </c>
      <c r="J88" s="10" t="str">
        <f t="shared" si="11"/>
        <v>LOW PRICE</v>
      </c>
    </row>
    <row r="89" spans="1:10" hidden="1" x14ac:dyDescent="0.35">
      <c r="A89" t="s">
        <v>256</v>
      </c>
      <c r="B89" s="11">
        <v>1466</v>
      </c>
      <c r="C89" s="11">
        <v>1699</v>
      </c>
      <c r="D89" s="11">
        <f t="shared" si="8"/>
        <v>233</v>
      </c>
      <c r="E89" s="12">
        <v>0.14000000000000001</v>
      </c>
      <c r="F89" s="12" t="str">
        <f t="shared" si="9"/>
        <v>LOW DISCOUNT</v>
      </c>
      <c r="G89" s="10"/>
      <c r="H89" s="13"/>
      <c r="I89" s="10" t="str">
        <f t="shared" si="10"/>
        <v>NOT PROVIDED</v>
      </c>
      <c r="J89" s="10" t="str">
        <f t="shared" si="11"/>
        <v>MEDIUM PRICE</v>
      </c>
    </row>
    <row r="90" spans="1:10" hidden="1" x14ac:dyDescent="0.35">
      <c r="A90" t="s">
        <v>258</v>
      </c>
      <c r="B90" s="11">
        <v>274</v>
      </c>
      <c r="C90" s="11">
        <v>537</v>
      </c>
      <c r="D90" s="11">
        <f t="shared" si="8"/>
        <v>263</v>
      </c>
      <c r="E90" s="12">
        <v>0.49</v>
      </c>
      <c r="F90" s="12" t="str">
        <f t="shared" si="9"/>
        <v>HIGH DISCOUNT</v>
      </c>
      <c r="G90" s="10"/>
      <c r="H90" s="13"/>
      <c r="I90" s="10" t="str">
        <f t="shared" si="10"/>
        <v>NOT PROVIDED</v>
      </c>
      <c r="J90" s="10" t="str">
        <f t="shared" si="11"/>
        <v>LOW PRICE</v>
      </c>
    </row>
    <row r="91" spans="1:10" hidden="1" x14ac:dyDescent="0.35">
      <c r="A91" t="s">
        <v>261</v>
      </c>
      <c r="B91" s="11">
        <v>799</v>
      </c>
      <c r="C91" s="11">
        <v>900</v>
      </c>
      <c r="D91" s="11">
        <f t="shared" si="8"/>
        <v>101</v>
      </c>
      <c r="E91" s="12">
        <v>0.11</v>
      </c>
      <c r="F91" s="12" t="str">
        <f t="shared" si="9"/>
        <v>LOW DISCOUNT</v>
      </c>
      <c r="G91" s="10"/>
      <c r="H91" s="13"/>
      <c r="I91" s="10" t="str">
        <f t="shared" si="10"/>
        <v>NOT PROVIDED</v>
      </c>
      <c r="J91" s="10" t="str">
        <f t="shared" si="11"/>
        <v>LOW PRICE</v>
      </c>
    </row>
    <row r="92" spans="1:10" hidden="1" x14ac:dyDescent="0.35">
      <c r="A92" t="s">
        <v>175</v>
      </c>
      <c r="B92" s="11">
        <v>657</v>
      </c>
      <c r="C92" s="11">
        <v>1288</v>
      </c>
      <c r="D92" s="11">
        <f t="shared" si="8"/>
        <v>631</v>
      </c>
      <c r="E92" s="12">
        <v>0.49</v>
      </c>
      <c r="F92" s="12" t="str">
        <f t="shared" si="9"/>
        <v>HIGH DISCOUNT</v>
      </c>
      <c r="G92" s="10"/>
      <c r="H92" s="13"/>
      <c r="I92" s="10" t="str">
        <f t="shared" si="10"/>
        <v>NOT PROVIDED</v>
      </c>
      <c r="J92" s="10" t="str">
        <f t="shared" si="11"/>
        <v>LOW PRICE</v>
      </c>
    </row>
    <row r="93" spans="1:10" hidden="1" x14ac:dyDescent="0.35">
      <c r="A93" t="s">
        <v>264</v>
      </c>
      <c r="B93" s="11">
        <v>1468</v>
      </c>
      <c r="C93" s="11">
        <v>1699</v>
      </c>
      <c r="D93" s="11">
        <f t="shared" si="8"/>
        <v>231</v>
      </c>
      <c r="E93" s="12">
        <v>0.14000000000000001</v>
      </c>
      <c r="F93" s="12" t="str">
        <f t="shared" si="9"/>
        <v>LOW DISCOUNT</v>
      </c>
      <c r="G93" s="10"/>
      <c r="H93" s="13"/>
      <c r="I93" s="10" t="str">
        <f t="shared" si="10"/>
        <v>NOT PROVIDED</v>
      </c>
      <c r="J93" s="10" t="str">
        <f t="shared" si="11"/>
        <v>MEDIUM PRICE</v>
      </c>
    </row>
    <row r="94" spans="1:10" hidden="1" x14ac:dyDescent="0.35">
      <c r="A94" t="s">
        <v>266</v>
      </c>
      <c r="B94" s="11">
        <v>630</v>
      </c>
      <c r="C94" s="11">
        <v>1100</v>
      </c>
      <c r="D94" s="11">
        <f t="shared" si="8"/>
        <v>470</v>
      </c>
      <c r="E94" s="12">
        <v>0.43</v>
      </c>
      <c r="F94" s="12" t="str">
        <f t="shared" si="9"/>
        <v>HIGH DISCOUNT</v>
      </c>
      <c r="G94" s="10"/>
      <c r="H94" s="13"/>
      <c r="I94" s="10" t="str">
        <f t="shared" si="10"/>
        <v>NOT PROVIDED</v>
      </c>
      <c r="J94" s="10" t="str">
        <f t="shared" si="11"/>
        <v>LOW PRICE</v>
      </c>
    </row>
    <row r="95" spans="1:10" hidden="1" x14ac:dyDescent="0.35">
      <c r="A95" t="s">
        <v>269</v>
      </c>
      <c r="B95" s="11">
        <v>850</v>
      </c>
      <c r="C95" s="11">
        <v>1700</v>
      </c>
      <c r="D95" s="11">
        <f t="shared" si="8"/>
        <v>850</v>
      </c>
      <c r="E95" s="12">
        <v>0.5</v>
      </c>
      <c r="F95" s="12" t="str">
        <f t="shared" si="9"/>
        <v>HIGH DISCOUNT</v>
      </c>
      <c r="G95" s="10"/>
      <c r="H95" s="13"/>
      <c r="I95" s="10" t="str">
        <f t="shared" si="10"/>
        <v>NOT PROVIDED</v>
      </c>
      <c r="J95" s="10" t="str">
        <f t="shared" si="11"/>
        <v>LOW PRICE</v>
      </c>
    </row>
    <row r="96" spans="1:10" hidden="1" x14ac:dyDescent="0.35">
      <c r="A96" t="s">
        <v>272</v>
      </c>
      <c r="B96" s="11">
        <v>1300</v>
      </c>
      <c r="C96" s="11">
        <v>2500</v>
      </c>
      <c r="D96" s="11">
        <f t="shared" si="8"/>
        <v>1200</v>
      </c>
      <c r="E96" s="12">
        <v>0.48</v>
      </c>
      <c r="F96" s="12" t="str">
        <f t="shared" si="9"/>
        <v>HIGH DISCOUNT</v>
      </c>
      <c r="G96" s="10"/>
      <c r="H96" s="13"/>
      <c r="I96" s="10" t="str">
        <f t="shared" si="10"/>
        <v>NOT PROVIDED</v>
      </c>
      <c r="J96" s="10" t="str">
        <f t="shared" si="11"/>
        <v>MEDIUM PRICE</v>
      </c>
    </row>
    <row r="97" spans="1:10" hidden="1" x14ac:dyDescent="0.35">
      <c r="A97" t="s">
        <v>274</v>
      </c>
      <c r="B97" s="11">
        <v>105</v>
      </c>
      <c r="C97" s="11">
        <v>200</v>
      </c>
      <c r="D97" s="11">
        <f t="shared" si="8"/>
        <v>95</v>
      </c>
      <c r="E97" s="12">
        <v>0.48</v>
      </c>
      <c r="F97" s="12" t="str">
        <f t="shared" si="9"/>
        <v>HIGH DISCOUNT</v>
      </c>
      <c r="G97" s="10"/>
      <c r="H97" s="13"/>
      <c r="I97" s="10" t="str">
        <f t="shared" si="10"/>
        <v>NOT PROVIDED</v>
      </c>
      <c r="J97" s="10" t="str">
        <f t="shared" si="11"/>
        <v>LOW PRICE</v>
      </c>
    </row>
    <row r="98" spans="1:10" hidden="1" x14ac:dyDescent="0.35">
      <c r="A98" t="s">
        <v>277</v>
      </c>
      <c r="B98" s="11">
        <v>899</v>
      </c>
      <c r="C98" s="11">
        <v>1699</v>
      </c>
      <c r="D98" s="11">
        <f t="shared" ref="D98:D114" si="12">C98-B98</f>
        <v>800</v>
      </c>
      <c r="E98" s="12">
        <v>0.47</v>
      </c>
      <c r="F98" s="12" t="str">
        <f t="shared" ref="F98:F114" si="13">IF(E98&lt;20%,"LOW DISCOUNT",IF(E98&lt;40%,"MEDIUM DISCOUNT","HIGH DISCOUNT"))</f>
        <v>HIGH DISCOUNT</v>
      </c>
      <c r="G98" s="10"/>
      <c r="H98" s="13"/>
      <c r="I98" s="10" t="str">
        <f t="shared" ref="I98:I114" si="14">IF(ISBLANK(H98),"NOT PROVIDED",IF(H98&lt;3,"POOR",IF(H98&lt;4.5,"AVERAGE","EXCELLENT")))</f>
        <v>NOT PROVIDED</v>
      </c>
      <c r="J98" s="10" t="str">
        <f t="shared" ref="J98:J114" si="15">IF(B98&lt;1000,"LOW PRICE",IF(B98&lt;2000,"MEDIUM PRICE","HIGH PRICE"))</f>
        <v>LOW PRICE</v>
      </c>
    </row>
    <row r="99" spans="1:10" hidden="1" x14ac:dyDescent="0.35">
      <c r="A99" t="s">
        <v>278</v>
      </c>
      <c r="B99" s="11">
        <v>1200</v>
      </c>
      <c r="C99" s="11">
        <v>2400</v>
      </c>
      <c r="D99" s="11">
        <f t="shared" si="12"/>
        <v>1200</v>
      </c>
      <c r="E99" s="12">
        <v>0.5</v>
      </c>
      <c r="F99" s="12" t="str">
        <f t="shared" si="13"/>
        <v>HIGH DISCOUNT</v>
      </c>
      <c r="G99" s="10"/>
      <c r="H99" s="13"/>
      <c r="I99" s="10" t="str">
        <f t="shared" si="14"/>
        <v>NOT PROVIDED</v>
      </c>
      <c r="J99" s="10" t="str">
        <f t="shared" si="15"/>
        <v>MEDIUM PRICE</v>
      </c>
    </row>
    <row r="100" spans="1:10" hidden="1" x14ac:dyDescent="0.35">
      <c r="A100" t="s">
        <v>280</v>
      </c>
      <c r="B100" s="11">
        <v>1526</v>
      </c>
      <c r="C100" s="11">
        <v>1660</v>
      </c>
      <c r="D100" s="11">
        <f t="shared" si="12"/>
        <v>134</v>
      </c>
      <c r="E100" s="12">
        <v>0.08</v>
      </c>
      <c r="F100" s="12" t="str">
        <f t="shared" si="13"/>
        <v>LOW DISCOUNT</v>
      </c>
      <c r="G100" s="10"/>
      <c r="H100" s="13"/>
      <c r="I100" s="10" t="str">
        <f t="shared" si="14"/>
        <v>NOT PROVIDED</v>
      </c>
      <c r="J100" s="10" t="str">
        <f t="shared" si="15"/>
        <v>MEDIUM PRICE</v>
      </c>
    </row>
    <row r="101" spans="1:10" hidden="1" x14ac:dyDescent="0.35">
      <c r="A101" t="s">
        <v>282</v>
      </c>
      <c r="B101" s="11">
        <v>1462</v>
      </c>
      <c r="C101" s="11">
        <v>1499</v>
      </c>
      <c r="D101" s="11">
        <f t="shared" si="12"/>
        <v>37</v>
      </c>
      <c r="E101" s="12">
        <v>0.02</v>
      </c>
      <c r="F101" s="12" t="str">
        <f t="shared" si="13"/>
        <v>LOW DISCOUNT</v>
      </c>
      <c r="G101" s="10"/>
      <c r="H101" s="13"/>
      <c r="I101" s="10" t="str">
        <f t="shared" si="14"/>
        <v>NOT PROVIDED</v>
      </c>
      <c r="J101" s="10" t="str">
        <f t="shared" si="15"/>
        <v>MEDIUM PRICE</v>
      </c>
    </row>
    <row r="102" spans="1:10" hidden="1" x14ac:dyDescent="0.35">
      <c r="A102" t="s">
        <v>284</v>
      </c>
      <c r="B102" s="11">
        <v>248</v>
      </c>
      <c r="C102" s="11">
        <v>486</v>
      </c>
      <c r="D102" s="11">
        <f t="shared" si="12"/>
        <v>238</v>
      </c>
      <c r="E102" s="12">
        <v>0.49</v>
      </c>
      <c r="F102" s="12" t="str">
        <f t="shared" si="13"/>
        <v>HIGH DISCOUNT</v>
      </c>
      <c r="G102" s="10"/>
      <c r="H102" s="13"/>
      <c r="I102" s="10" t="str">
        <f t="shared" si="14"/>
        <v>NOT PROVIDED</v>
      </c>
      <c r="J102" s="10" t="str">
        <f t="shared" si="15"/>
        <v>LOW PRICE</v>
      </c>
    </row>
    <row r="103" spans="1:10" hidden="1" x14ac:dyDescent="0.35">
      <c r="A103" t="s">
        <v>287</v>
      </c>
      <c r="B103" s="11">
        <v>3546</v>
      </c>
      <c r="C103" s="11">
        <v>3699</v>
      </c>
      <c r="D103" s="11">
        <f t="shared" si="12"/>
        <v>153</v>
      </c>
      <c r="E103" s="12">
        <v>0.04</v>
      </c>
      <c r="F103" s="12" t="str">
        <f t="shared" si="13"/>
        <v>LOW DISCOUNT</v>
      </c>
      <c r="G103" s="10"/>
      <c r="H103" s="13"/>
      <c r="I103" s="10" t="str">
        <f t="shared" si="14"/>
        <v>NOT PROVIDED</v>
      </c>
      <c r="J103" s="10" t="str">
        <f t="shared" si="15"/>
        <v>HIGH PRICE</v>
      </c>
    </row>
    <row r="104" spans="1:10" hidden="1" x14ac:dyDescent="0.35">
      <c r="A104" t="s">
        <v>289</v>
      </c>
      <c r="B104" s="11">
        <v>525</v>
      </c>
      <c r="C104" s="11">
        <v>1029</v>
      </c>
      <c r="D104" s="11">
        <f t="shared" si="12"/>
        <v>504</v>
      </c>
      <c r="E104" s="12">
        <v>0.49</v>
      </c>
      <c r="F104" s="12" t="str">
        <f t="shared" si="13"/>
        <v>HIGH DISCOUNT</v>
      </c>
      <c r="G104" s="10"/>
      <c r="H104" s="13"/>
      <c r="I104" s="10" t="str">
        <f t="shared" si="14"/>
        <v>NOT PROVIDED</v>
      </c>
      <c r="J104" s="10" t="str">
        <f t="shared" si="15"/>
        <v>LOW PRICE</v>
      </c>
    </row>
    <row r="105" spans="1:10" hidden="1" x14ac:dyDescent="0.35">
      <c r="A105" t="s">
        <v>292</v>
      </c>
      <c r="B105" s="11">
        <v>1080</v>
      </c>
      <c r="C105" s="11">
        <v>1874</v>
      </c>
      <c r="D105" s="11">
        <f t="shared" si="12"/>
        <v>794</v>
      </c>
      <c r="E105" s="12">
        <v>0.42</v>
      </c>
      <c r="F105" s="12" t="str">
        <f t="shared" si="13"/>
        <v>HIGH DISCOUNT</v>
      </c>
      <c r="G105" s="10"/>
      <c r="H105" s="13"/>
      <c r="I105" s="10" t="str">
        <f t="shared" si="14"/>
        <v>NOT PROVIDED</v>
      </c>
      <c r="J105" s="10" t="str">
        <f t="shared" si="15"/>
        <v>MEDIUM PRICE</v>
      </c>
    </row>
    <row r="106" spans="1:10" hidden="1" x14ac:dyDescent="0.35">
      <c r="A106" t="s">
        <v>298</v>
      </c>
      <c r="B106" s="11">
        <v>1420</v>
      </c>
      <c r="C106" s="11">
        <v>2420</v>
      </c>
      <c r="D106" s="11">
        <f t="shared" si="12"/>
        <v>1000</v>
      </c>
      <c r="E106" s="12">
        <v>0.41</v>
      </c>
      <c r="F106" s="12" t="str">
        <f t="shared" si="13"/>
        <v>HIGH DISCOUNT</v>
      </c>
      <c r="G106" s="10"/>
      <c r="H106" s="13"/>
      <c r="I106" s="10" t="str">
        <f t="shared" si="14"/>
        <v>NOT PROVIDED</v>
      </c>
      <c r="J106" s="10" t="str">
        <f t="shared" si="15"/>
        <v>MEDIUM PRICE</v>
      </c>
    </row>
    <row r="107" spans="1:10" hidden="1" x14ac:dyDescent="0.35">
      <c r="A107" t="s">
        <v>301</v>
      </c>
      <c r="B107" s="11">
        <v>1875</v>
      </c>
      <c r="C107" s="11">
        <v>1899</v>
      </c>
      <c r="D107" s="11">
        <f t="shared" si="12"/>
        <v>24</v>
      </c>
      <c r="E107" s="12">
        <v>0.01</v>
      </c>
      <c r="F107" s="12" t="str">
        <f t="shared" si="13"/>
        <v>LOW DISCOUNT</v>
      </c>
      <c r="G107" s="10"/>
      <c r="H107" s="13"/>
      <c r="I107" s="10" t="str">
        <f t="shared" si="14"/>
        <v>NOT PROVIDED</v>
      </c>
      <c r="J107" s="10" t="str">
        <f t="shared" si="15"/>
        <v>MEDIUM PRICE</v>
      </c>
    </row>
    <row r="108" spans="1:10" hidden="1" x14ac:dyDescent="0.35">
      <c r="A108" t="s">
        <v>304</v>
      </c>
      <c r="B108" s="11">
        <v>198</v>
      </c>
      <c r="C108" s="11">
        <v>260</v>
      </c>
      <c r="D108" s="11">
        <f t="shared" si="12"/>
        <v>62</v>
      </c>
      <c r="E108" s="12">
        <v>0.24</v>
      </c>
      <c r="F108" s="12" t="str">
        <f t="shared" si="13"/>
        <v>MEDIUM DISCOUNT</v>
      </c>
      <c r="G108" s="10"/>
      <c r="H108" s="13"/>
      <c r="I108" s="10" t="str">
        <f t="shared" si="14"/>
        <v>NOT PROVIDED</v>
      </c>
      <c r="J108" s="10" t="str">
        <f t="shared" si="15"/>
        <v>LOW PRICE</v>
      </c>
    </row>
    <row r="109" spans="1:10" hidden="1" x14ac:dyDescent="0.35">
      <c r="A109" t="s">
        <v>307</v>
      </c>
      <c r="B109" s="11">
        <v>1150</v>
      </c>
      <c r="C109" s="11">
        <v>1737</v>
      </c>
      <c r="D109" s="11">
        <f t="shared" si="12"/>
        <v>587</v>
      </c>
      <c r="E109" s="12">
        <v>0.34</v>
      </c>
      <c r="F109" s="12" t="str">
        <f t="shared" si="13"/>
        <v>MEDIUM DISCOUNT</v>
      </c>
      <c r="G109" s="10"/>
      <c r="H109" s="13"/>
      <c r="I109" s="10" t="str">
        <f t="shared" si="14"/>
        <v>NOT PROVIDED</v>
      </c>
      <c r="J109" s="10" t="str">
        <f t="shared" si="15"/>
        <v>MEDIUM PRICE</v>
      </c>
    </row>
    <row r="110" spans="1:10" hidden="1" x14ac:dyDescent="0.35">
      <c r="A110" t="s">
        <v>310</v>
      </c>
      <c r="B110" s="11">
        <v>1190</v>
      </c>
      <c r="C110" s="11">
        <v>1810</v>
      </c>
      <c r="D110" s="11">
        <f t="shared" si="12"/>
        <v>620</v>
      </c>
      <c r="E110" s="12">
        <v>0.34</v>
      </c>
      <c r="F110" s="12" t="str">
        <f t="shared" si="13"/>
        <v>MEDIUM DISCOUNT</v>
      </c>
      <c r="G110" s="10"/>
      <c r="H110" s="13"/>
      <c r="I110" s="10" t="str">
        <f t="shared" si="14"/>
        <v>NOT PROVIDED</v>
      </c>
      <c r="J110" s="10" t="str">
        <f t="shared" si="15"/>
        <v>MEDIUM PRICE</v>
      </c>
    </row>
    <row r="111" spans="1:10" hidden="1" x14ac:dyDescent="0.35">
      <c r="A111" t="s">
        <v>312</v>
      </c>
      <c r="B111" s="11">
        <v>1658</v>
      </c>
      <c r="C111" s="11">
        <v>1699</v>
      </c>
      <c r="D111" s="11">
        <f t="shared" si="12"/>
        <v>41</v>
      </c>
      <c r="E111" s="12">
        <v>0.02</v>
      </c>
      <c r="F111" s="12" t="str">
        <f t="shared" si="13"/>
        <v>LOW DISCOUNT</v>
      </c>
      <c r="G111" s="10"/>
      <c r="H111" s="13"/>
      <c r="I111" s="10" t="str">
        <f t="shared" si="14"/>
        <v>NOT PROVIDED</v>
      </c>
      <c r="J111" s="10" t="str">
        <f t="shared" si="15"/>
        <v>MEDIUM PRICE</v>
      </c>
    </row>
    <row r="112" spans="1:10" hidden="1" x14ac:dyDescent="0.35">
      <c r="A112" t="s">
        <v>314</v>
      </c>
      <c r="B112" s="11">
        <v>1768</v>
      </c>
      <c r="C112" s="11">
        <v>1799</v>
      </c>
      <c r="D112" s="11">
        <f t="shared" si="12"/>
        <v>31</v>
      </c>
      <c r="E112" s="12">
        <v>0.02</v>
      </c>
      <c r="F112" s="12" t="str">
        <f t="shared" si="13"/>
        <v>LOW DISCOUNT</v>
      </c>
      <c r="G112" s="10"/>
      <c r="H112" s="13"/>
      <c r="I112" s="10" t="str">
        <f t="shared" si="14"/>
        <v>NOT PROVIDED</v>
      </c>
      <c r="J112" s="10" t="str">
        <f t="shared" si="15"/>
        <v>MEDIUM PRICE</v>
      </c>
    </row>
    <row r="113" spans="1:10" x14ac:dyDescent="0.35">
      <c r="A113" t="s">
        <v>316</v>
      </c>
      <c r="B113" s="11">
        <v>199</v>
      </c>
      <c r="C113" s="11">
        <v>553</v>
      </c>
      <c r="D113" s="11">
        <f t="shared" si="12"/>
        <v>354</v>
      </c>
      <c r="E113" s="12">
        <v>0.64</v>
      </c>
      <c r="F113" s="12" t="str">
        <f t="shared" si="13"/>
        <v>HIGH DISCOUNT</v>
      </c>
      <c r="G113" s="10"/>
      <c r="H113" s="13"/>
      <c r="I113" s="10" t="str">
        <f t="shared" si="14"/>
        <v>NOT PROVIDED</v>
      </c>
      <c r="J113" s="10" t="str">
        <f t="shared" si="15"/>
        <v>LOW PRICE</v>
      </c>
    </row>
    <row r="114" spans="1:10" hidden="1" x14ac:dyDescent="0.35">
      <c r="A114" t="s">
        <v>320</v>
      </c>
      <c r="B114" s="11">
        <v>169</v>
      </c>
      <c r="C114" s="11">
        <v>320</v>
      </c>
      <c r="D114" s="11">
        <f t="shared" si="12"/>
        <v>151</v>
      </c>
      <c r="E114" s="12">
        <v>0.47</v>
      </c>
      <c r="F114" s="12" t="str">
        <f t="shared" si="13"/>
        <v>HIGH DISCOUNT</v>
      </c>
      <c r="G114" s="10"/>
      <c r="H114" s="13"/>
      <c r="I114" s="10" t="str">
        <f t="shared" si="14"/>
        <v>NOT PROVIDED</v>
      </c>
      <c r="J114" s="10" t="str">
        <f t="shared" si="15"/>
        <v>LOW PRICE</v>
      </c>
    </row>
    <row r="115" spans="1:10" hidden="1" x14ac:dyDescent="0.35">
      <c r="B115" s="11"/>
      <c r="C115" s="11"/>
      <c r="D115" s="11"/>
      <c r="E115" s="12"/>
      <c r="F115" s="12"/>
      <c r="G115" s="10"/>
      <c r="H115" s="13"/>
      <c r="I115" s="10"/>
      <c r="J115" s="10"/>
    </row>
    <row r="116" spans="1:10" hidden="1" x14ac:dyDescent="0.35"/>
  </sheetData>
  <autoFilter ref="A1:J116" xr:uid="{7365FBE8-0973-4C7A-8301-690E18B6C15C}">
    <filterColumn colId="4">
      <top10 val="10" filterVal="0.52"/>
    </filterColumn>
  </autoFilter>
  <sortState xmlns:xlrd2="http://schemas.microsoft.com/office/spreadsheetml/2017/richdata2" ref="A1:U115">
    <sortCondition descending="1" ref="H1:H115"/>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4FC0C-038E-433E-BB7F-AAE534198E6A}">
  <sheetPr filterMode="1"/>
  <dimension ref="A1:J115"/>
  <sheetViews>
    <sheetView topLeftCell="A30" workbookViewId="0">
      <selection activeCell="E129" sqref="E129"/>
    </sheetView>
  </sheetViews>
  <sheetFormatPr defaultRowHeight="14.5" x14ac:dyDescent="0.35"/>
  <cols>
    <col min="1" max="1" width="89.1796875" bestFit="1" customWidth="1"/>
    <col min="2" max="2" width="17.26953125" style="3" bestFit="1" customWidth="1"/>
    <col min="3" max="3" width="12.81640625" style="3" bestFit="1" customWidth="1"/>
    <col min="4" max="4" width="18.54296875" style="3" bestFit="1" customWidth="1"/>
    <col min="5" max="5" width="12.6328125" style="1" bestFit="1" customWidth="1"/>
    <col min="6" max="6" width="22.54296875" style="1" bestFit="1" customWidth="1"/>
    <col min="7" max="7" width="11" bestFit="1" customWidth="1"/>
    <col min="8" max="8" width="11.453125" style="4" bestFit="1" customWidth="1"/>
    <col min="9" max="9" width="20.26953125" bestFit="1" customWidth="1"/>
    <col min="10" max="10" width="18.6328125" bestFit="1" customWidth="1"/>
  </cols>
  <sheetData>
    <row r="1" spans="1:10" s="5" customFormat="1" ht="18.5" x14ac:dyDescent="0.45">
      <c r="A1" s="5" t="s">
        <v>0</v>
      </c>
      <c r="B1" s="7" t="s">
        <v>1</v>
      </c>
      <c r="C1" s="7" t="s">
        <v>326</v>
      </c>
      <c r="D1" s="7" t="s">
        <v>331</v>
      </c>
      <c r="E1" s="8" t="s">
        <v>3</v>
      </c>
      <c r="F1" s="8" t="s">
        <v>323</v>
      </c>
      <c r="G1" s="6" t="s">
        <v>4</v>
      </c>
      <c r="H1" s="9" t="s">
        <v>5</v>
      </c>
      <c r="I1" s="6" t="s">
        <v>324</v>
      </c>
      <c r="J1" s="6" t="s">
        <v>325</v>
      </c>
    </row>
    <row r="2" spans="1:10" hidden="1" x14ac:dyDescent="0.35">
      <c r="A2" t="s">
        <v>6</v>
      </c>
      <c r="B2" s="11">
        <v>950</v>
      </c>
      <c r="C2" s="11">
        <v>1525</v>
      </c>
      <c r="D2" s="11">
        <f>C2-B2</f>
        <v>575</v>
      </c>
      <c r="E2" s="12">
        <v>0.38</v>
      </c>
      <c r="F2" s="12" t="str">
        <f>IF(E2&lt;20%,"LOW DISCOUNT",IF(E2&lt;40%,"MEDIUM DISCOUNT","HIGH DISCOUNT"))</f>
        <v>MEDIUM DISCOUNT</v>
      </c>
      <c r="G2" s="10">
        <v>2</v>
      </c>
      <c r="H2" s="13">
        <v>4.5</v>
      </c>
      <c r="I2" s="10" t="str">
        <f>IF(ISBLANK(H2),"NOT PROVIDED",IF(H2&lt;3,"POOR",IF(H2&lt;4.5,"AVERAGE","EXCELLENT")))</f>
        <v>EXCELLENT</v>
      </c>
      <c r="J2" s="10" t="str">
        <f>IF(B2&lt;1000,"LOW PRICE",IF(B2&lt;2000,"MEDIUM PRICE","HIGH PRICE"))</f>
        <v>LOW PRICE</v>
      </c>
    </row>
    <row r="3" spans="1:10" hidden="1" x14ac:dyDescent="0.35">
      <c r="A3" t="s">
        <v>10</v>
      </c>
      <c r="B3" s="11">
        <v>527</v>
      </c>
      <c r="C3" s="11">
        <v>999</v>
      </c>
      <c r="D3" s="11">
        <f t="shared" ref="D3:D67" si="0">C3-B3</f>
        <v>472</v>
      </c>
      <c r="E3" s="12">
        <v>0.47</v>
      </c>
      <c r="F3" s="12" t="str">
        <f t="shared" ref="F3:F67" si="1">IF(E3&lt;20%,"LOW DISCOUNT",IF(E3&lt;40%,"MEDIUM DISCOUNT","HIGH DISCOUNT"))</f>
        <v>HIGH DISCOUNT</v>
      </c>
      <c r="G3" s="10">
        <v>14</v>
      </c>
      <c r="H3" s="13">
        <v>4.0999999999999996</v>
      </c>
      <c r="I3" s="10" t="str">
        <f t="shared" ref="I3:I67" si="2">IF(ISBLANK(H3),"NOT PROVIDED",IF(H3&lt;3,"POOR",IF(H3&lt;4.5,"AVERAGE","EXCELLENT")))</f>
        <v>AVERAGE</v>
      </c>
      <c r="J3" s="10" t="str">
        <f t="shared" ref="J3:J67" si="3">IF(B3&lt;1000,"LOW PRICE",IF(B3&lt;2000,"MEDIUM PRICE","HIGH PRICE"))</f>
        <v>LOW PRICE</v>
      </c>
    </row>
    <row r="4" spans="1:10" x14ac:dyDescent="0.35">
      <c r="A4" t="s">
        <v>14</v>
      </c>
      <c r="B4" s="11">
        <v>2199</v>
      </c>
      <c r="C4" s="11">
        <v>2923</v>
      </c>
      <c r="D4" s="11">
        <f t="shared" si="0"/>
        <v>724</v>
      </c>
      <c r="E4" s="12">
        <v>0.25</v>
      </c>
      <c r="F4" s="12" t="str">
        <f t="shared" si="1"/>
        <v>MEDIUM DISCOUNT</v>
      </c>
      <c r="G4" s="10">
        <v>24</v>
      </c>
      <c r="H4" s="13">
        <v>4.5999999999999996</v>
      </c>
      <c r="I4" s="10" t="str">
        <f t="shared" si="2"/>
        <v>EXCELLENT</v>
      </c>
      <c r="J4" s="10" t="str">
        <f t="shared" si="3"/>
        <v>HIGH PRICE</v>
      </c>
    </row>
    <row r="5" spans="1:10" hidden="1" x14ac:dyDescent="0.35">
      <c r="A5" t="s">
        <v>18</v>
      </c>
      <c r="B5" s="11">
        <v>1580</v>
      </c>
      <c r="C5" s="11">
        <v>2499</v>
      </c>
      <c r="D5" s="11">
        <f t="shared" si="0"/>
        <v>919</v>
      </c>
      <c r="E5" s="12">
        <v>0.37</v>
      </c>
      <c r="F5" s="12" t="str">
        <f t="shared" si="1"/>
        <v>MEDIUM DISCOUNT</v>
      </c>
      <c r="G5" s="10">
        <v>7</v>
      </c>
      <c r="H5" s="13">
        <v>4.7</v>
      </c>
      <c r="I5" s="10" t="str">
        <f t="shared" si="2"/>
        <v>EXCELLENT</v>
      </c>
      <c r="J5" s="10" t="str">
        <f t="shared" si="3"/>
        <v>MEDIUM PRICE</v>
      </c>
    </row>
    <row r="6" spans="1:10" hidden="1" x14ac:dyDescent="0.35">
      <c r="A6" t="s">
        <v>22</v>
      </c>
      <c r="B6" s="11">
        <v>1740</v>
      </c>
      <c r="C6" s="11">
        <v>2356</v>
      </c>
      <c r="D6" s="11">
        <f t="shared" si="0"/>
        <v>616</v>
      </c>
      <c r="E6" s="12">
        <v>0.26</v>
      </c>
      <c r="F6" s="12" t="str">
        <f t="shared" si="1"/>
        <v>MEDIUM DISCOUNT</v>
      </c>
      <c r="G6" s="10">
        <v>5</v>
      </c>
      <c r="H6" s="13">
        <v>4.8</v>
      </c>
      <c r="I6" s="10" t="str">
        <f t="shared" si="2"/>
        <v>EXCELLENT</v>
      </c>
      <c r="J6" s="10" t="str">
        <f t="shared" si="3"/>
        <v>MEDIUM PRICE</v>
      </c>
    </row>
    <row r="7" spans="1:10" hidden="1" x14ac:dyDescent="0.35">
      <c r="A7" t="s">
        <v>26</v>
      </c>
      <c r="B7" s="11">
        <v>2999</v>
      </c>
      <c r="C7" s="11">
        <v>3290</v>
      </c>
      <c r="D7" s="11">
        <f t="shared" si="0"/>
        <v>291</v>
      </c>
      <c r="E7" s="12">
        <v>0.09</v>
      </c>
      <c r="F7" s="12" t="str">
        <f t="shared" si="1"/>
        <v>LOW DISCOUNT</v>
      </c>
      <c r="G7" s="10">
        <v>15</v>
      </c>
      <c r="H7" s="13">
        <v>4</v>
      </c>
      <c r="I7" s="10" t="str">
        <f t="shared" si="2"/>
        <v>AVERAGE</v>
      </c>
      <c r="J7" s="10" t="str">
        <f t="shared" si="3"/>
        <v>HIGH PRICE</v>
      </c>
    </row>
    <row r="8" spans="1:10" x14ac:dyDescent="0.35">
      <c r="A8" t="s">
        <v>30</v>
      </c>
      <c r="B8" s="11">
        <v>2319</v>
      </c>
      <c r="C8" s="11">
        <v>3032</v>
      </c>
      <c r="D8" s="11">
        <f t="shared" si="0"/>
        <v>713</v>
      </c>
      <c r="E8" s="12">
        <v>0.24</v>
      </c>
      <c r="F8" s="12" t="str">
        <f t="shared" si="1"/>
        <v>MEDIUM DISCOUNT</v>
      </c>
      <c r="G8" s="10">
        <v>55</v>
      </c>
      <c r="H8" s="13">
        <v>4.5999999999999996</v>
      </c>
      <c r="I8" s="10" t="str">
        <f t="shared" si="2"/>
        <v>EXCELLENT</v>
      </c>
      <c r="J8" s="10" t="str">
        <f t="shared" si="3"/>
        <v>HIGH PRICE</v>
      </c>
    </row>
    <row r="9" spans="1:10" hidden="1" x14ac:dyDescent="0.35">
      <c r="A9" t="s">
        <v>33</v>
      </c>
      <c r="B9" s="11">
        <v>988</v>
      </c>
      <c r="C9" s="11">
        <v>1580</v>
      </c>
      <c r="D9" s="11">
        <f t="shared" si="0"/>
        <v>592</v>
      </c>
      <c r="E9" s="12">
        <v>0.37</v>
      </c>
      <c r="F9" s="12" t="str">
        <f t="shared" si="1"/>
        <v>MEDIUM DISCOUNT</v>
      </c>
      <c r="G9" s="10">
        <v>2</v>
      </c>
      <c r="H9" s="13">
        <v>4</v>
      </c>
      <c r="I9" s="10" t="str">
        <f t="shared" si="2"/>
        <v>AVERAGE</v>
      </c>
      <c r="J9" s="10" t="str">
        <f t="shared" si="3"/>
        <v>LOW PRICE</v>
      </c>
    </row>
    <row r="10" spans="1:10" hidden="1" x14ac:dyDescent="0.35">
      <c r="A10" t="s">
        <v>35</v>
      </c>
      <c r="B10" s="11">
        <v>1274</v>
      </c>
      <c r="C10" s="11">
        <v>2800</v>
      </c>
      <c r="D10" s="11">
        <f t="shared" si="0"/>
        <v>1526</v>
      </c>
      <c r="E10" s="12">
        <v>0.55000000000000004</v>
      </c>
      <c r="F10" s="12" t="str">
        <f t="shared" si="1"/>
        <v>HIGH DISCOUNT</v>
      </c>
      <c r="G10" s="10">
        <v>5</v>
      </c>
      <c r="H10" s="13">
        <v>4.8</v>
      </c>
      <c r="I10" s="10" t="str">
        <f t="shared" si="2"/>
        <v>EXCELLENT</v>
      </c>
      <c r="J10" s="10" t="str">
        <f t="shared" si="3"/>
        <v>MEDIUM PRICE</v>
      </c>
    </row>
    <row r="11" spans="1:10" hidden="1" x14ac:dyDescent="0.35">
      <c r="A11" t="s">
        <v>38</v>
      </c>
      <c r="B11" s="11">
        <v>1600</v>
      </c>
      <c r="C11" s="11">
        <v>2929</v>
      </c>
      <c r="D11" s="11">
        <f t="shared" si="0"/>
        <v>1329</v>
      </c>
      <c r="E11" s="12">
        <v>0.45</v>
      </c>
      <c r="F11" s="12" t="str">
        <f t="shared" si="1"/>
        <v>HIGH DISCOUNT</v>
      </c>
      <c r="G11" s="10">
        <v>5</v>
      </c>
      <c r="H11" s="13">
        <v>3.8</v>
      </c>
      <c r="I11" s="10" t="str">
        <f t="shared" si="2"/>
        <v>AVERAGE</v>
      </c>
      <c r="J11" s="10" t="str">
        <f t="shared" si="3"/>
        <v>MEDIUM PRICE</v>
      </c>
    </row>
    <row r="12" spans="1:10" hidden="1" x14ac:dyDescent="0.35">
      <c r="A12" t="s">
        <v>42</v>
      </c>
      <c r="B12" s="11">
        <v>799</v>
      </c>
      <c r="C12" s="11">
        <v>999</v>
      </c>
      <c r="D12" s="11">
        <f t="shared" si="0"/>
        <v>200</v>
      </c>
      <c r="E12" s="12">
        <v>0.2</v>
      </c>
      <c r="F12" s="12" t="str">
        <f t="shared" si="1"/>
        <v>MEDIUM DISCOUNT</v>
      </c>
      <c r="G12" s="10">
        <v>12</v>
      </c>
      <c r="H12" s="13">
        <v>4.0999999999999996</v>
      </c>
      <c r="I12" s="10" t="str">
        <f t="shared" si="2"/>
        <v>AVERAGE</v>
      </c>
      <c r="J12" s="10" t="str">
        <f t="shared" si="3"/>
        <v>LOW PRICE</v>
      </c>
    </row>
    <row r="13" spans="1:10" x14ac:dyDescent="0.35">
      <c r="A13" t="s">
        <v>44</v>
      </c>
      <c r="B13" s="11">
        <v>990</v>
      </c>
      <c r="C13" s="11">
        <v>1500</v>
      </c>
      <c r="D13" s="11">
        <f t="shared" si="0"/>
        <v>510</v>
      </c>
      <c r="E13" s="12">
        <v>0.34</v>
      </c>
      <c r="F13" s="12" t="str">
        <f t="shared" si="1"/>
        <v>MEDIUM DISCOUNT</v>
      </c>
      <c r="G13" s="10">
        <v>39</v>
      </c>
      <c r="H13" s="13">
        <v>4.7</v>
      </c>
      <c r="I13" s="10" t="str">
        <f t="shared" si="2"/>
        <v>EXCELLENT</v>
      </c>
      <c r="J13" s="10" t="str">
        <f t="shared" si="3"/>
        <v>LOW PRICE</v>
      </c>
    </row>
    <row r="14" spans="1:10" hidden="1" x14ac:dyDescent="0.35">
      <c r="A14" t="s">
        <v>47</v>
      </c>
      <c r="B14" s="11">
        <v>552</v>
      </c>
      <c r="C14" s="11">
        <v>1035</v>
      </c>
      <c r="D14" s="11">
        <f t="shared" si="0"/>
        <v>483</v>
      </c>
      <c r="E14" s="12">
        <v>0.47</v>
      </c>
      <c r="F14" s="12" t="str">
        <f t="shared" si="1"/>
        <v>HIGH DISCOUNT</v>
      </c>
      <c r="G14" s="10">
        <v>12</v>
      </c>
      <c r="H14" s="13">
        <v>4.8</v>
      </c>
      <c r="I14" s="10" t="str">
        <f t="shared" si="2"/>
        <v>EXCELLENT</v>
      </c>
      <c r="J14" s="10" t="str">
        <f t="shared" si="3"/>
        <v>LOW PRICE</v>
      </c>
    </row>
    <row r="15" spans="1:10" hidden="1" x14ac:dyDescent="0.35">
      <c r="A15" t="s">
        <v>50</v>
      </c>
      <c r="B15" s="11">
        <v>501</v>
      </c>
      <c r="C15" s="11">
        <v>860</v>
      </c>
      <c r="D15" s="11">
        <f t="shared" si="0"/>
        <v>359</v>
      </c>
      <c r="E15" s="12">
        <v>0.42</v>
      </c>
      <c r="F15" s="12" t="str">
        <f t="shared" si="1"/>
        <v>HIGH DISCOUNT</v>
      </c>
      <c r="G15" s="10">
        <v>6</v>
      </c>
      <c r="H15" s="13">
        <v>4.5</v>
      </c>
      <c r="I15" s="10" t="str">
        <f t="shared" si="2"/>
        <v>EXCELLENT</v>
      </c>
      <c r="J15" s="10" t="str">
        <f t="shared" si="3"/>
        <v>LOW PRICE</v>
      </c>
    </row>
    <row r="16" spans="1:10" hidden="1" x14ac:dyDescent="0.35">
      <c r="A16" t="s">
        <v>53</v>
      </c>
      <c r="B16" s="11">
        <v>1680</v>
      </c>
      <c r="C16" s="11">
        <v>2499</v>
      </c>
      <c r="D16" s="11">
        <f t="shared" si="0"/>
        <v>819</v>
      </c>
      <c r="E16" s="12">
        <v>0.33</v>
      </c>
      <c r="F16" s="12" t="str">
        <f t="shared" si="1"/>
        <v>MEDIUM DISCOUNT</v>
      </c>
      <c r="G16" s="10">
        <v>9</v>
      </c>
      <c r="H16" s="13">
        <v>4.2</v>
      </c>
      <c r="I16" s="10" t="str">
        <f t="shared" si="2"/>
        <v>AVERAGE</v>
      </c>
      <c r="J16" s="10" t="str">
        <f t="shared" si="3"/>
        <v>MEDIUM PRICE</v>
      </c>
    </row>
    <row r="17" spans="1:10" hidden="1" x14ac:dyDescent="0.35">
      <c r="A17" t="s">
        <v>56</v>
      </c>
      <c r="B17" s="11">
        <v>332</v>
      </c>
      <c r="C17" s="11">
        <v>684</v>
      </c>
      <c r="D17" s="11">
        <f t="shared" si="0"/>
        <v>352</v>
      </c>
      <c r="E17" s="12">
        <v>0.51</v>
      </c>
      <c r="F17" s="12" t="str">
        <f t="shared" si="1"/>
        <v>HIGH DISCOUNT</v>
      </c>
      <c r="G17" s="10">
        <v>2</v>
      </c>
      <c r="H17" s="13">
        <v>5</v>
      </c>
      <c r="I17" s="10" t="str">
        <f t="shared" si="2"/>
        <v>EXCELLENT</v>
      </c>
      <c r="J17" s="10" t="str">
        <f t="shared" si="3"/>
        <v>LOW PRICE</v>
      </c>
    </row>
    <row r="18" spans="1:10" hidden="1" x14ac:dyDescent="0.35">
      <c r="A18" t="s">
        <v>60</v>
      </c>
      <c r="B18" s="11">
        <v>195</v>
      </c>
      <c r="C18" s="11">
        <v>360</v>
      </c>
      <c r="D18" s="11">
        <f t="shared" si="0"/>
        <v>165</v>
      </c>
      <c r="E18" s="12">
        <v>0.46</v>
      </c>
      <c r="F18" s="12" t="str">
        <f t="shared" si="1"/>
        <v>HIGH DISCOUNT</v>
      </c>
      <c r="G18" s="10">
        <v>2</v>
      </c>
      <c r="H18" s="13">
        <v>5</v>
      </c>
      <c r="I18" s="10" t="str">
        <f t="shared" si="2"/>
        <v>EXCELLENT</v>
      </c>
      <c r="J18" s="10" t="str">
        <f t="shared" si="3"/>
        <v>LOW PRICE</v>
      </c>
    </row>
    <row r="19" spans="1:10" hidden="1" x14ac:dyDescent="0.35">
      <c r="A19" t="s">
        <v>63</v>
      </c>
      <c r="B19" s="11">
        <v>2025</v>
      </c>
      <c r="C19" s="11">
        <v>3971</v>
      </c>
      <c r="D19" s="11">
        <f t="shared" si="0"/>
        <v>1946</v>
      </c>
      <c r="E19" s="12">
        <v>0.49</v>
      </c>
      <c r="F19" s="12" t="str">
        <f t="shared" si="1"/>
        <v>HIGH DISCOUNT</v>
      </c>
      <c r="G19" s="10">
        <v>3</v>
      </c>
      <c r="H19" s="13">
        <v>5</v>
      </c>
      <c r="I19" s="10" t="str">
        <f t="shared" si="2"/>
        <v>EXCELLENT</v>
      </c>
      <c r="J19" s="10" t="str">
        <f t="shared" si="3"/>
        <v>HIGH PRICE</v>
      </c>
    </row>
    <row r="20" spans="1:10" hidden="1" x14ac:dyDescent="0.35">
      <c r="A20" t="s">
        <v>66</v>
      </c>
      <c r="B20" s="11">
        <v>2999</v>
      </c>
      <c r="C20" s="11">
        <v>3699</v>
      </c>
      <c r="D20" s="11">
        <f t="shared" si="0"/>
        <v>700</v>
      </c>
      <c r="E20" s="12">
        <v>0.19</v>
      </c>
      <c r="F20" s="12" t="str">
        <f t="shared" si="1"/>
        <v>LOW DISCOUNT</v>
      </c>
      <c r="G20" s="10">
        <v>5</v>
      </c>
      <c r="H20" s="13">
        <v>4.5999999999999996</v>
      </c>
      <c r="I20" s="10" t="str">
        <f t="shared" si="2"/>
        <v>EXCELLENT</v>
      </c>
      <c r="J20" s="10" t="str">
        <f t="shared" si="3"/>
        <v>HIGH PRICE</v>
      </c>
    </row>
    <row r="21" spans="1:10" x14ac:dyDescent="0.35">
      <c r="A21" t="s">
        <v>68</v>
      </c>
      <c r="B21" s="11">
        <v>998</v>
      </c>
      <c r="C21" s="11">
        <v>1966</v>
      </c>
      <c r="D21" s="11">
        <f t="shared" si="0"/>
        <v>968</v>
      </c>
      <c r="E21" s="12">
        <v>0.49</v>
      </c>
      <c r="F21" s="12" t="str">
        <f t="shared" si="1"/>
        <v>HIGH DISCOUNT</v>
      </c>
      <c r="G21" s="10">
        <v>44</v>
      </c>
      <c r="H21" s="13">
        <v>4.5999999999999996</v>
      </c>
      <c r="I21" s="10" t="str">
        <f t="shared" si="2"/>
        <v>EXCELLENT</v>
      </c>
      <c r="J21" s="10" t="str">
        <f t="shared" si="3"/>
        <v>LOW PRICE</v>
      </c>
    </row>
    <row r="22" spans="1:10" hidden="1" x14ac:dyDescent="0.35">
      <c r="A22" t="s">
        <v>71</v>
      </c>
      <c r="B22" s="11">
        <v>38</v>
      </c>
      <c r="C22" s="11">
        <v>80</v>
      </c>
      <c r="D22" s="11">
        <f t="shared" si="0"/>
        <v>42</v>
      </c>
      <c r="E22" s="12">
        <v>0.53</v>
      </c>
      <c r="F22" s="12" t="str">
        <f t="shared" si="1"/>
        <v>HIGH DISCOUNT</v>
      </c>
      <c r="G22" s="10">
        <v>13</v>
      </c>
      <c r="H22" s="13">
        <v>3.3</v>
      </c>
      <c r="I22" s="10" t="str">
        <f t="shared" si="2"/>
        <v>AVERAGE</v>
      </c>
      <c r="J22" s="10" t="str">
        <f t="shared" si="3"/>
        <v>LOW PRICE</v>
      </c>
    </row>
    <row r="23" spans="1:10" hidden="1" x14ac:dyDescent="0.35">
      <c r="A23" t="s">
        <v>75</v>
      </c>
      <c r="B23" s="11">
        <v>1860</v>
      </c>
      <c r="C23" s="11">
        <v>3220</v>
      </c>
      <c r="D23" s="11">
        <f t="shared" si="0"/>
        <v>1360</v>
      </c>
      <c r="E23" s="12">
        <v>0.42</v>
      </c>
      <c r="F23" s="12" t="str">
        <f t="shared" si="1"/>
        <v>HIGH DISCOUNT</v>
      </c>
      <c r="G23" s="10"/>
      <c r="H23" s="13"/>
      <c r="I23" s="10" t="str">
        <f t="shared" si="2"/>
        <v>NOT PROVIDED</v>
      </c>
      <c r="J23" s="10" t="str">
        <f t="shared" si="3"/>
        <v>MEDIUM PRICE</v>
      </c>
    </row>
    <row r="24" spans="1:10" hidden="1" x14ac:dyDescent="0.35">
      <c r="A24" t="s">
        <v>78</v>
      </c>
      <c r="B24" s="11">
        <v>880</v>
      </c>
      <c r="C24" s="11">
        <v>1350</v>
      </c>
      <c r="D24" s="11">
        <f t="shared" si="0"/>
        <v>470</v>
      </c>
      <c r="E24" s="12">
        <v>0.35</v>
      </c>
      <c r="F24" s="12" t="str">
        <f t="shared" si="1"/>
        <v>MEDIUM DISCOUNT</v>
      </c>
      <c r="G24" s="10">
        <v>6</v>
      </c>
      <c r="H24" s="13">
        <v>4</v>
      </c>
      <c r="I24" s="10" t="str">
        <f t="shared" si="2"/>
        <v>AVERAGE</v>
      </c>
      <c r="J24" s="10" t="str">
        <f t="shared" si="3"/>
        <v>LOW PRICE</v>
      </c>
    </row>
    <row r="25" spans="1:10" hidden="1" x14ac:dyDescent="0.35">
      <c r="A25" t="s">
        <v>81</v>
      </c>
      <c r="B25" s="11">
        <v>1650</v>
      </c>
      <c r="C25" s="11">
        <v>2150</v>
      </c>
      <c r="D25" s="11">
        <f t="shared" si="0"/>
        <v>500</v>
      </c>
      <c r="E25" s="12">
        <v>0.23</v>
      </c>
      <c r="F25" s="12" t="str">
        <f t="shared" si="1"/>
        <v>MEDIUM DISCOUNT</v>
      </c>
      <c r="G25" s="10">
        <v>14</v>
      </c>
      <c r="H25" s="13">
        <v>4.4000000000000004</v>
      </c>
      <c r="I25" s="10" t="str">
        <f t="shared" si="2"/>
        <v>AVERAGE</v>
      </c>
      <c r="J25" s="10" t="str">
        <f t="shared" si="3"/>
        <v>MEDIUM PRICE</v>
      </c>
    </row>
    <row r="26" spans="1:10" hidden="1" x14ac:dyDescent="0.35">
      <c r="A26" t="s">
        <v>85</v>
      </c>
      <c r="B26" s="11">
        <v>2048</v>
      </c>
      <c r="C26" s="11">
        <v>4500</v>
      </c>
      <c r="D26" s="11">
        <f t="shared" si="0"/>
        <v>2452</v>
      </c>
      <c r="E26" s="12">
        <v>0.54</v>
      </c>
      <c r="F26" s="12" t="str">
        <f t="shared" si="1"/>
        <v>HIGH DISCOUNT</v>
      </c>
      <c r="G26" s="10">
        <v>7</v>
      </c>
      <c r="H26" s="13">
        <v>4.3</v>
      </c>
      <c r="I26" s="10" t="str">
        <f t="shared" si="2"/>
        <v>AVERAGE</v>
      </c>
      <c r="J26" s="10" t="str">
        <f t="shared" si="3"/>
        <v>HIGH PRICE</v>
      </c>
    </row>
    <row r="27" spans="1:10" x14ac:dyDescent="0.35">
      <c r="A27" t="s">
        <v>89</v>
      </c>
      <c r="B27" s="11">
        <v>420</v>
      </c>
      <c r="C27" s="11">
        <v>647</v>
      </c>
      <c r="D27" s="11">
        <f t="shared" si="0"/>
        <v>227</v>
      </c>
      <c r="E27" s="12">
        <v>0.35</v>
      </c>
      <c r="F27" s="12" t="str">
        <f t="shared" si="1"/>
        <v>MEDIUM DISCOUNT</v>
      </c>
      <c r="G27" s="10">
        <v>49</v>
      </c>
      <c r="H27" s="13">
        <v>4.5999999999999996</v>
      </c>
      <c r="I27" s="10" t="str">
        <f t="shared" si="2"/>
        <v>EXCELLENT</v>
      </c>
      <c r="J27" s="10" t="str">
        <f t="shared" si="3"/>
        <v>LOW PRICE</v>
      </c>
    </row>
    <row r="28" spans="1:10" hidden="1" x14ac:dyDescent="0.35">
      <c r="A28" t="s">
        <v>92</v>
      </c>
      <c r="B28" s="11">
        <v>2880</v>
      </c>
      <c r="C28" s="11">
        <v>3520</v>
      </c>
      <c r="D28" s="11">
        <f t="shared" si="0"/>
        <v>640</v>
      </c>
      <c r="E28" s="12">
        <v>0.18</v>
      </c>
      <c r="F28" s="12" t="str">
        <f t="shared" si="1"/>
        <v>LOW DISCOUNT</v>
      </c>
      <c r="G28" s="10">
        <v>12</v>
      </c>
      <c r="H28" s="13">
        <v>3.8</v>
      </c>
      <c r="I28" s="10" t="str">
        <f t="shared" si="2"/>
        <v>AVERAGE</v>
      </c>
      <c r="J28" s="10" t="str">
        <f t="shared" si="3"/>
        <v>HIGH PRICE</v>
      </c>
    </row>
    <row r="29" spans="1:10" hidden="1" x14ac:dyDescent="0.35">
      <c r="A29" t="s">
        <v>95</v>
      </c>
      <c r="B29" s="11">
        <v>1350</v>
      </c>
      <c r="C29" s="11">
        <v>1990</v>
      </c>
      <c r="D29" s="11">
        <f t="shared" si="0"/>
        <v>640</v>
      </c>
      <c r="E29" s="12">
        <v>0.32</v>
      </c>
      <c r="F29" s="12" t="str">
        <f t="shared" si="1"/>
        <v>MEDIUM DISCOUNT</v>
      </c>
      <c r="G29" s="10">
        <v>13</v>
      </c>
      <c r="H29" s="13">
        <v>3.8</v>
      </c>
      <c r="I29" s="10" t="str">
        <f t="shared" si="2"/>
        <v>AVERAGE</v>
      </c>
      <c r="J29" s="10" t="str">
        <f t="shared" si="3"/>
        <v>MEDIUM PRICE</v>
      </c>
    </row>
    <row r="30" spans="1:10" x14ac:dyDescent="0.35">
      <c r="A30" t="s">
        <v>97</v>
      </c>
      <c r="B30" s="11">
        <v>1758</v>
      </c>
      <c r="C30" s="11">
        <v>2499</v>
      </c>
      <c r="D30" s="11">
        <f t="shared" si="0"/>
        <v>741</v>
      </c>
      <c r="E30" s="12">
        <v>0.3</v>
      </c>
      <c r="F30" s="12" t="str">
        <f t="shared" si="1"/>
        <v>MEDIUM DISCOUNT</v>
      </c>
      <c r="G30" s="10">
        <v>20</v>
      </c>
      <c r="H30" s="13">
        <v>4.0999999999999996</v>
      </c>
      <c r="I30" s="10" t="str">
        <f t="shared" si="2"/>
        <v>AVERAGE</v>
      </c>
      <c r="J30" s="10" t="str">
        <f t="shared" si="3"/>
        <v>MEDIUM PRICE</v>
      </c>
    </row>
    <row r="31" spans="1:10" hidden="1" x14ac:dyDescent="0.35">
      <c r="A31" t="s">
        <v>99</v>
      </c>
      <c r="B31" s="11">
        <v>2200</v>
      </c>
      <c r="C31" s="11">
        <v>4080</v>
      </c>
      <c r="D31" s="11">
        <f t="shared" si="0"/>
        <v>1880</v>
      </c>
      <c r="E31" s="12">
        <v>0.46</v>
      </c>
      <c r="F31" s="12" t="str">
        <f t="shared" si="1"/>
        <v>HIGH DISCOUNT</v>
      </c>
      <c r="G31" s="10"/>
      <c r="H31" s="13"/>
      <c r="I31" s="10" t="str">
        <f t="shared" si="2"/>
        <v>NOT PROVIDED</v>
      </c>
      <c r="J31" s="10" t="str">
        <f t="shared" si="3"/>
        <v>HIGH PRICE</v>
      </c>
    </row>
    <row r="32" spans="1:10" hidden="1" x14ac:dyDescent="0.35">
      <c r="A32" t="s">
        <v>102</v>
      </c>
      <c r="B32" s="11">
        <v>185</v>
      </c>
      <c r="C32" s="11">
        <v>382</v>
      </c>
      <c r="D32" s="11">
        <f t="shared" si="0"/>
        <v>197</v>
      </c>
      <c r="E32" s="12">
        <v>0.52</v>
      </c>
      <c r="F32" s="12" t="str">
        <f t="shared" si="1"/>
        <v>HIGH DISCOUNT</v>
      </c>
      <c r="G32" s="10">
        <v>9</v>
      </c>
      <c r="H32" s="13">
        <v>4.3</v>
      </c>
      <c r="I32" s="10" t="str">
        <f t="shared" si="2"/>
        <v>AVERAGE</v>
      </c>
      <c r="J32" s="10" t="str">
        <f t="shared" si="3"/>
        <v>LOW PRICE</v>
      </c>
    </row>
    <row r="33" spans="1:10" hidden="1" x14ac:dyDescent="0.35">
      <c r="A33" t="s">
        <v>105</v>
      </c>
      <c r="B33" s="11">
        <v>980</v>
      </c>
      <c r="C33" s="11">
        <v>1490</v>
      </c>
      <c r="D33" s="11">
        <f t="shared" si="0"/>
        <v>510</v>
      </c>
      <c r="E33" s="12">
        <v>0.34</v>
      </c>
      <c r="F33" s="12" t="str">
        <f t="shared" si="1"/>
        <v>MEDIUM DISCOUNT</v>
      </c>
      <c r="G33" s="10">
        <v>12</v>
      </c>
      <c r="H33" s="13">
        <v>4.7</v>
      </c>
      <c r="I33" s="10" t="str">
        <f t="shared" si="2"/>
        <v>EXCELLENT</v>
      </c>
      <c r="J33" s="10" t="str">
        <f t="shared" si="3"/>
        <v>LOW PRICE</v>
      </c>
    </row>
    <row r="34" spans="1:10" hidden="1" x14ac:dyDescent="0.35">
      <c r="A34" t="s">
        <v>108</v>
      </c>
      <c r="B34" s="11">
        <v>1820</v>
      </c>
      <c r="C34" s="11">
        <v>3490</v>
      </c>
      <c r="D34" s="11">
        <f t="shared" si="0"/>
        <v>1670</v>
      </c>
      <c r="E34" s="12">
        <v>0.48</v>
      </c>
      <c r="F34" s="12" t="str">
        <f t="shared" si="1"/>
        <v>HIGH DISCOUNT</v>
      </c>
      <c r="G34" s="10">
        <v>9</v>
      </c>
      <c r="H34" s="13">
        <v>4.3</v>
      </c>
      <c r="I34" s="10" t="str">
        <f t="shared" si="2"/>
        <v>AVERAGE</v>
      </c>
      <c r="J34" s="10" t="str">
        <f t="shared" si="3"/>
        <v>MEDIUM PRICE</v>
      </c>
    </row>
    <row r="35" spans="1:10" x14ac:dyDescent="0.35">
      <c r="A35" t="s">
        <v>111</v>
      </c>
      <c r="B35" s="11">
        <v>1940</v>
      </c>
      <c r="C35" s="11">
        <v>2650</v>
      </c>
      <c r="D35" s="11">
        <f t="shared" si="0"/>
        <v>710</v>
      </c>
      <c r="E35" s="12">
        <v>0.27</v>
      </c>
      <c r="F35" s="12" t="str">
        <f t="shared" si="1"/>
        <v>MEDIUM DISCOUNT</v>
      </c>
      <c r="G35" s="10">
        <v>20</v>
      </c>
      <c r="H35" s="13">
        <v>4.7</v>
      </c>
      <c r="I35" s="10" t="str">
        <f t="shared" si="2"/>
        <v>EXCELLENT</v>
      </c>
      <c r="J35" s="10" t="str">
        <f t="shared" si="3"/>
        <v>MEDIUM PRICE</v>
      </c>
    </row>
    <row r="36" spans="1:10" x14ac:dyDescent="0.35">
      <c r="A36" t="s">
        <v>114</v>
      </c>
      <c r="B36" s="11">
        <v>1980</v>
      </c>
      <c r="C36" s="11">
        <v>2699</v>
      </c>
      <c r="D36" s="11">
        <f t="shared" si="0"/>
        <v>719</v>
      </c>
      <c r="E36" s="12">
        <v>0.27</v>
      </c>
      <c r="F36" s="12" t="str">
        <f t="shared" si="1"/>
        <v>MEDIUM DISCOUNT</v>
      </c>
      <c r="G36" s="10">
        <v>32</v>
      </c>
      <c r="H36" s="13">
        <v>4.5</v>
      </c>
      <c r="I36" s="10" t="str">
        <f t="shared" si="2"/>
        <v>EXCELLENT</v>
      </c>
      <c r="J36" s="10" t="str">
        <f t="shared" si="3"/>
        <v>MEDIUM PRICE</v>
      </c>
    </row>
    <row r="37" spans="1:10" hidden="1" x14ac:dyDescent="0.35">
      <c r="A37" t="s">
        <v>117</v>
      </c>
      <c r="B37" s="11">
        <v>1620</v>
      </c>
      <c r="C37" s="11">
        <v>2690</v>
      </c>
      <c r="D37" s="11">
        <f t="shared" si="0"/>
        <v>1070</v>
      </c>
      <c r="E37" s="12">
        <v>0.4</v>
      </c>
      <c r="F37" s="12" t="str">
        <f t="shared" si="1"/>
        <v>HIGH DISCOUNT</v>
      </c>
      <c r="G37" s="10">
        <v>1</v>
      </c>
      <c r="H37" s="13">
        <v>5</v>
      </c>
      <c r="I37" s="10" t="str">
        <f t="shared" si="2"/>
        <v>EXCELLENT</v>
      </c>
      <c r="J37" s="10" t="str">
        <f t="shared" si="3"/>
        <v>MEDIUM PRICE</v>
      </c>
    </row>
    <row r="38" spans="1:10" hidden="1" x14ac:dyDescent="0.35">
      <c r="A38" t="s">
        <v>120</v>
      </c>
      <c r="B38" s="11">
        <v>171</v>
      </c>
      <c r="C38" s="11">
        <v>360</v>
      </c>
      <c r="D38" s="11">
        <f t="shared" si="0"/>
        <v>189</v>
      </c>
      <c r="E38" s="12">
        <v>0.53</v>
      </c>
      <c r="F38" s="12" t="str">
        <f t="shared" si="1"/>
        <v>HIGH DISCOUNT</v>
      </c>
      <c r="G38" s="10">
        <v>2</v>
      </c>
      <c r="H38" s="13">
        <v>5</v>
      </c>
      <c r="I38" s="10" t="str">
        <f t="shared" si="2"/>
        <v>EXCELLENT</v>
      </c>
      <c r="J38" s="10" t="str">
        <f t="shared" si="3"/>
        <v>LOW PRICE</v>
      </c>
    </row>
    <row r="39" spans="1:10" x14ac:dyDescent="0.35">
      <c r="A39" t="s">
        <v>122</v>
      </c>
      <c r="B39" s="11">
        <v>389</v>
      </c>
      <c r="C39" s="11">
        <v>656</v>
      </c>
      <c r="D39" s="11">
        <f t="shared" si="0"/>
        <v>267</v>
      </c>
      <c r="E39" s="12">
        <v>0.41</v>
      </c>
      <c r="F39" s="12" t="str">
        <f t="shared" si="1"/>
        <v>HIGH DISCOUNT</v>
      </c>
      <c r="G39" s="10">
        <v>36</v>
      </c>
      <c r="H39" s="13">
        <v>4.3</v>
      </c>
      <c r="I39" s="10" t="str">
        <f t="shared" si="2"/>
        <v>AVERAGE</v>
      </c>
      <c r="J39" s="10" t="str">
        <f t="shared" si="3"/>
        <v>LOW PRICE</v>
      </c>
    </row>
    <row r="40" spans="1:10" hidden="1" x14ac:dyDescent="0.35">
      <c r="A40" t="s">
        <v>334</v>
      </c>
      <c r="B40" s="11">
        <v>1620</v>
      </c>
      <c r="C40" s="11">
        <v>2200</v>
      </c>
      <c r="D40" s="11">
        <f t="shared" si="0"/>
        <v>580</v>
      </c>
      <c r="E40" s="12">
        <v>0.26</v>
      </c>
      <c r="F40" s="12" t="str">
        <f t="shared" si="1"/>
        <v>MEDIUM DISCOUNT</v>
      </c>
      <c r="G40" s="10">
        <v>2</v>
      </c>
      <c r="H40" s="13">
        <v>4.5</v>
      </c>
      <c r="I40" s="10" t="str">
        <f t="shared" si="2"/>
        <v>EXCELLENT</v>
      </c>
      <c r="J40" s="10" t="str">
        <f t="shared" si="3"/>
        <v>MEDIUM PRICE</v>
      </c>
    </row>
    <row r="41" spans="1:10" hidden="1" x14ac:dyDescent="0.35">
      <c r="A41" t="s">
        <v>333</v>
      </c>
      <c r="B41" s="11">
        <v>1980</v>
      </c>
      <c r="C41" s="11">
        <v>3200</v>
      </c>
      <c r="D41" s="11">
        <f t="shared" si="0"/>
        <v>1220</v>
      </c>
      <c r="E41" s="12">
        <v>0.38</v>
      </c>
      <c r="F41" s="12" t="str">
        <f t="shared" si="1"/>
        <v>MEDIUM DISCOUNT</v>
      </c>
      <c r="G41" s="10"/>
      <c r="H41" s="13"/>
      <c r="I41" s="10" t="str">
        <f t="shared" si="2"/>
        <v>NOT PROVIDED</v>
      </c>
      <c r="J41" s="10" t="str">
        <f t="shared" si="3"/>
        <v>MEDIUM PRICE</v>
      </c>
    </row>
    <row r="42" spans="1:10" hidden="1" x14ac:dyDescent="0.35">
      <c r="A42" t="s">
        <v>128</v>
      </c>
      <c r="B42" s="11">
        <v>2750</v>
      </c>
      <c r="C42" s="11">
        <v>4471</v>
      </c>
      <c r="D42" s="11">
        <f t="shared" si="0"/>
        <v>1721</v>
      </c>
      <c r="E42" s="12">
        <v>0.38</v>
      </c>
      <c r="F42" s="12" t="str">
        <f t="shared" si="1"/>
        <v>MEDIUM DISCOUNT</v>
      </c>
      <c r="G42" s="10"/>
      <c r="H42" s="13"/>
      <c r="I42" s="10" t="str">
        <f t="shared" si="2"/>
        <v>NOT PROVIDED</v>
      </c>
      <c r="J42" s="10" t="str">
        <f t="shared" si="3"/>
        <v>HIGH PRICE</v>
      </c>
    </row>
    <row r="43" spans="1:10" hidden="1" x14ac:dyDescent="0.35">
      <c r="A43" t="s">
        <v>131</v>
      </c>
      <c r="B43" s="11">
        <v>475</v>
      </c>
      <c r="C43" s="11">
        <v>931</v>
      </c>
      <c r="D43" s="11">
        <f t="shared" si="0"/>
        <v>456</v>
      </c>
      <c r="E43" s="12">
        <v>0.49</v>
      </c>
      <c r="F43" s="12" t="str">
        <f t="shared" si="1"/>
        <v>HIGH DISCOUNT</v>
      </c>
      <c r="G43" s="10"/>
      <c r="H43" s="13"/>
      <c r="I43" s="10" t="str">
        <f t="shared" si="2"/>
        <v>NOT PROVIDED</v>
      </c>
      <c r="J43" s="10" t="str">
        <f t="shared" si="3"/>
        <v>LOW PRICE</v>
      </c>
    </row>
    <row r="44" spans="1:10" hidden="1" x14ac:dyDescent="0.35">
      <c r="A44" t="s">
        <v>134</v>
      </c>
      <c r="B44" s="11">
        <v>238</v>
      </c>
      <c r="C44" s="11">
        <v>476</v>
      </c>
      <c r="D44" s="11">
        <f t="shared" si="0"/>
        <v>238</v>
      </c>
      <c r="E44" s="12">
        <v>0.5</v>
      </c>
      <c r="F44" s="12" t="str">
        <f t="shared" si="1"/>
        <v>HIGH DISCOUNT</v>
      </c>
      <c r="G44" s="10"/>
      <c r="H44" s="13"/>
      <c r="I44" s="10" t="str">
        <f t="shared" si="2"/>
        <v>NOT PROVIDED</v>
      </c>
      <c r="J44" s="10" t="str">
        <f t="shared" si="3"/>
        <v>LOW PRICE</v>
      </c>
    </row>
    <row r="45" spans="1:10" hidden="1" x14ac:dyDescent="0.35">
      <c r="A45" t="s">
        <v>137</v>
      </c>
      <c r="B45" s="11">
        <v>610</v>
      </c>
      <c r="C45" s="11">
        <v>1060</v>
      </c>
      <c r="D45" s="11">
        <f t="shared" si="0"/>
        <v>450</v>
      </c>
      <c r="E45" s="12">
        <v>0.42</v>
      </c>
      <c r="F45" s="12" t="str">
        <f t="shared" si="1"/>
        <v>HIGH DISCOUNT</v>
      </c>
      <c r="G45" s="10"/>
      <c r="H45" s="13"/>
      <c r="I45" s="10" t="str">
        <f t="shared" si="2"/>
        <v>NOT PROVIDED</v>
      </c>
      <c r="J45" s="10" t="str">
        <f t="shared" si="3"/>
        <v>LOW PRICE</v>
      </c>
    </row>
    <row r="46" spans="1:10" hidden="1" x14ac:dyDescent="0.35">
      <c r="A46" t="s">
        <v>140</v>
      </c>
      <c r="B46" s="11">
        <v>2132</v>
      </c>
      <c r="C46" s="11">
        <v>2169</v>
      </c>
      <c r="D46" s="11">
        <f t="shared" si="0"/>
        <v>37</v>
      </c>
      <c r="E46" s="12">
        <v>0.02</v>
      </c>
      <c r="F46" s="12" t="str">
        <f t="shared" si="1"/>
        <v>LOW DISCOUNT</v>
      </c>
      <c r="G46" s="10"/>
      <c r="H46" s="13"/>
      <c r="I46" s="10" t="str">
        <f t="shared" si="2"/>
        <v>NOT PROVIDED</v>
      </c>
      <c r="J46" s="10" t="str">
        <f t="shared" si="3"/>
        <v>HIGH PRICE</v>
      </c>
    </row>
    <row r="47" spans="1:10" hidden="1" x14ac:dyDescent="0.35">
      <c r="A47" t="s">
        <v>143</v>
      </c>
      <c r="B47" s="11">
        <v>999</v>
      </c>
      <c r="C47" s="11">
        <v>2000</v>
      </c>
      <c r="D47" s="11">
        <f t="shared" si="0"/>
        <v>1001</v>
      </c>
      <c r="E47" s="12">
        <v>0.5</v>
      </c>
      <c r="F47" s="12" t="str">
        <f t="shared" si="1"/>
        <v>HIGH DISCOUNT</v>
      </c>
      <c r="G47" s="10"/>
      <c r="H47" s="13"/>
      <c r="I47" s="10" t="str">
        <f t="shared" si="2"/>
        <v>NOT PROVIDED</v>
      </c>
      <c r="J47" s="10" t="str">
        <f t="shared" si="3"/>
        <v>LOW PRICE</v>
      </c>
    </row>
    <row r="48" spans="1:10" hidden="1" x14ac:dyDescent="0.35">
      <c r="A48" t="s">
        <v>145</v>
      </c>
      <c r="B48" s="11">
        <v>1190</v>
      </c>
      <c r="C48" s="11">
        <v>1785</v>
      </c>
      <c r="D48" s="11">
        <f t="shared" si="0"/>
        <v>595</v>
      </c>
      <c r="E48" s="12">
        <v>0.33</v>
      </c>
      <c r="F48" s="12" t="str">
        <f t="shared" si="1"/>
        <v>MEDIUM DISCOUNT</v>
      </c>
      <c r="G48" s="10"/>
      <c r="H48" s="13"/>
      <c r="I48" s="10" t="str">
        <f t="shared" si="2"/>
        <v>NOT PROVIDED</v>
      </c>
      <c r="J48" s="10" t="str">
        <f t="shared" si="3"/>
        <v>MEDIUM PRICE</v>
      </c>
    </row>
    <row r="49" spans="1:10" hidden="1" x14ac:dyDescent="0.35">
      <c r="A49" t="s">
        <v>148</v>
      </c>
      <c r="B49" s="11">
        <v>671</v>
      </c>
      <c r="C49" s="11">
        <v>1316</v>
      </c>
      <c r="D49" s="11">
        <f t="shared" si="0"/>
        <v>645</v>
      </c>
      <c r="E49" s="12">
        <v>0.49</v>
      </c>
      <c r="F49" s="12" t="str">
        <f t="shared" si="1"/>
        <v>HIGH DISCOUNT</v>
      </c>
      <c r="G49" s="10"/>
      <c r="H49" s="13"/>
      <c r="I49" s="10" t="str">
        <f t="shared" si="2"/>
        <v>NOT PROVIDED</v>
      </c>
      <c r="J49" s="10" t="str">
        <f t="shared" si="3"/>
        <v>LOW PRICE</v>
      </c>
    </row>
    <row r="50" spans="1:10" hidden="1" x14ac:dyDescent="0.35">
      <c r="A50" t="s">
        <v>151</v>
      </c>
      <c r="B50" s="11">
        <v>1200</v>
      </c>
      <c r="C50" s="11">
        <v>1950</v>
      </c>
      <c r="D50" s="11">
        <f t="shared" si="0"/>
        <v>750</v>
      </c>
      <c r="E50" s="12">
        <v>0.38</v>
      </c>
      <c r="F50" s="12" t="str">
        <f t="shared" si="1"/>
        <v>MEDIUM DISCOUNT</v>
      </c>
      <c r="G50" s="10"/>
      <c r="H50" s="13"/>
      <c r="I50" s="10" t="str">
        <f t="shared" si="2"/>
        <v>NOT PROVIDED</v>
      </c>
      <c r="J50" s="10" t="str">
        <f t="shared" si="3"/>
        <v>MEDIUM PRICE</v>
      </c>
    </row>
    <row r="51" spans="1:10" hidden="1" x14ac:dyDescent="0.35">
      <c r="A51" t="s">
        <v>154</v>
      </c>
      <c r="B51" s="11">
        <v>199</v>
      </c>
      <c r="C51" s="11">
        <v>504</v>
      </c>
      <c r="D51" s="11">
        <f t="shared" si="0"/>
        <v>305</v>
      </c>
      <c r="E51" s="12">
        <v>0.61</v>
      </c>
      <c r="F51" s="12" t="str">
        <f t="shared" si="1"/>
        <v>HIGH DISCOUNT</v>
      </c>
      <c r="G51" s="10"/>
      <c r="H51" s="13"/>
      <c r="I51" s="10" t="str">
        <f t="shared" si="2"/>
        <v>NOT PROVIDED</v>
      </c>
      <c r="J51" s="10" t="str">
        <f t="shared" si="3"/>
        <v>LOW PRICE</v>
      </c>
    </row>
    <row r="52" spans="1:10" hidden="1" x14ac:dyDescent="0.35">
      <c r="A52" t="s">
        <v>157</v>
      </c>
      <c r="B52" s="11">
        <v>299</v>
      </c>
      <c r="C52" s="11">
        <v>600</v>
      </c>
      <c r="D52" s="11">
        <f t="shared" si="0"/>
        <v>301</v>
      </c>
      <c r="E52" s="12">
        <v>0.5</v>
      </c>
      <c r="F52" s="12" t="str">
        <f t="shared" si="1"/>
        <v>HIGH DISCOUNT</v>
      </c>
      <c r="G52" s="10"/>
      <c r="H52" s="13"/>
      <c r="I52" s="10" t="str">
        <f t="shared" si="2"/>
        <v>NOT PROVIDED</v>
      </c>
      <c r="J52" s="10" t="str">
        <f t="shared" si="3"/>
        <v>LOW PRICE</v>
      </c>
    </row>
    <row r="53" spans="1:10" hidden="1" x14ac:dyDescent="0.35">
      <c r="A53" t="s">
        <v>160</v>
      </c>
      <c r="B53" s="11">
        <v>1660</v>
      </c>
      <c r="C53" s="11">
        <v>1699</v>
      </c>
      <c r="D53" s="11">
        <f t="shared" si="0"/>
        <v>39</v>
      </c>
      <c r="E53" s="12">
        <v>0.02</v>
      </c>
      <c r="F53" s="12" t="str">
        <f t="shared" si="1"/>
        <v>LOW DISCOUNT</v>
      </c>
      <c r="G53" s="10"/>
      <c r="H53" s="13"/>
      <c r="I53" s="10" t="str">
        <f t="shared" si="2"/>
        <v>NOT PROVIDED</v>
      </c>
      <c r="J53" s="10" t="str">
        <f t="shared" si="3"/>
        <v>MEDIUM PRICE</v>
      </c>
    </row>
    <row r="54" spans="1:10" hidden="1" x14ac:dyDescent="0.35">
      <c r="A54" t="s">
        <v>163</v>
      </c>
      <c r="B54" s="11">
        <v>299</v>
      </c>
      <c r="C54" s="11">
        <v>384</v>
      </c>
      <c r="D54" s="11">
        <f t="shared" si="0"/>
        <v>85</v>
      </c>
      <c r="E54" s="12">
        <v>0.22</v>
      </c>
      <c r="F54" s="12" t="str">
        <f t="shared" si="1"/>
        <v>MEDIUM DISCOUNT</v>
      </c>
      <c r="G54" s="10"/>
      <c r="H54" s="13"/>
      <c r="I54" s="10" t="str">
        <f t="shared" si="2"/>
        <v>NOT PROVIDED</v>
      </c>
      <c r="J54" s="10" t="str">
        <f t="shared" si="3"/>
        <v>LOW PRICE</v>
      </c>
    </row>
    <row r="55" spans="1:10" hidden="1" x14ac:dyDescent="0.35">
      <c r="A55" t="s">
        <v>165</v>
      </c>
      <c r="B55" s="11">
        <v>1459</v>
      </c>
      <c r="C55" s="11">
        <v>1499</v>
      </c>
      <c r="D55" s="11">
        <f t="shared" si="0"/>
        <v>40</v>
      </c>
      <c r="E55" s="12">
        <v>0.03</v>
      </c>
      <c r="F55" s="12" t="str">
        <f t="shared" si="1"/>
        <v>LOW DISCOUNT</v>
      </c>
      <c r="G55" s="10"/>
      <c r="H55" s="13"/>
      <c r="I55" s="10" t="str">
        <f t="shared" si="2"/>
        <v>NOT PROVIDED</v>
      </c>
      <c r="J55" s="10" t="str">
        <f t="shared" si="3"/>
        <v>MEDIUM PRICE</v>
      </c>
    </row>
    <row r="56" spans="1:10" hidden="1" x14ac:dyDescent="0.35">
      <c r="A56" t="s">
        <v>168</v>
      </c>
      <c r="B56" s="11">
        <v>799</v>
      </c>
      <c r="C56" s="11">
        <v>1343</v>
      </c>
      <c r="D56" s="11">
        <f t="shared" si="0"/>
        <v>544</v>
      </c>
      <c r="E56" s="12">
        <v>0.41</v>
      </c>
      <c r="F56" s="12" t="str">
        <f t="shared" si="1"/>
        <v>HIGH DISCOUNT</v>
      </c>
      <c r="G56" s="10"/>
      <c r="H56" s="13"/>
      <c r="I56" s="10" t="str">
        <f t="shared" si="2"/>
        <v>NOT PROVIDED</v>
      </c>
      <c r="J56" s="10" t="str">
        <f t="shared" si="3"/>
        <v>LOW PRICE</v>
      </c>
    </row>
    <row r="57" spans="1:10" hidden="1" x14ac:dyDescent="0.35">
      <c r="A57" t="s">
        <v>170</v>
      </c>
      <c r="B57" s="11">
        <v>499</v>
      </c>
      <c r="C57" s="11">
        <v>900</v>
      </c>
      <c r="D57" s="11">
        <f t="shared" si="0"/>
        <v>401</v>
      </c>
      <c r="E57" s="12">
        <v>0.45</v>
      </c>
      <c r="F57" s="12" t="str">
        <f t="shared" si="1"/>
        <v>HIGH DISCOUNT</v>
      </c>
      <c r="G57" s="10"/>
      <c r="H57" s="13"/>
      <c r="I57" s="10" t="str">
        <f t="shared" si="2"/>
        <v>NOT PROVIDED</v>
      </c>
      <c r="J57" s="10" t="str">
        <f t="shared" si="3"/>
        <v>LOW PRICE</v>
      </c>
    </row>
    <row r="58" spans="1:10" hidden="1" x14ac:dyDescent="0.35">
      <c r="A58" t="s">
        <v>173</v>
      </c>
      <c r="B58" s="11">
        <v>699</v>
      </c>
      <c r="C58" s="11">
        <v>1343</v>
      </c>
      <c r="D58" s="11">
        <f t="shared" si="0"/>
        <v>644</v>
      </c>
      <c r="E58" s="12">
        <v>0.48</v>
      </c>
      <c r="F58" s="12" t="str">
        <f t="shared" si="1"/>
        <v>HIGH DISCOUNT</v>
      </c>
      <c r="G58" s="10"/>
      <c r="H58" s="13"/>
      <c r="I58" s="10" t="str">
        <f t="shared" si="2"/>
        <v>NOT PROVIDED</v>
      </c>
      <c r="J58" s="10" t="str">
        <f t="shared" si="3"/>
        <v>LOW PRICE</v>
      </c>
    </row>
    <row r="59" spans="1:10" hidden="1" x14ac:dyDescent="0.35">
      <c r="A59" t="s">
        <v>175</v>
      </c>
      <c r="B59" s="11">
        <v>799</v>
      </c>
      <c r="C59" s="11">
        <v>1567</v>
      </c>
      <c r="D59" s="11">
        <f t="shared" si="0"/>
        <v>768</v>
      </c>
      <c r="E59" s="12">
        <v>0.49</v>
      </c>
      <c r="F59" s="12" t="str">
        <f t="shared" si="1"/>
        <v>HIGH DISCOUNT</v>
      </c>
      <c r="G59" s="10"/>
      <c r="H59" s="13"/>
      <c r="I59" s="10" t="str">
        <f t="shared" si="2"/>
        <v>NOT PROVIDED</v>
      </c>
      <c r="J59" s="10" t="str">
        <f t="shared" si="3"/>
        <v>LOW PRICE</v>
      </c>
    </row>
    <row r="60" spans="1:10" hidden="1" x14ac:dyDescent="0.35">
      <c r="A60" t="s">
        <v>177</v>
      </c>
      <c r="B60" s="11">
        <v>2799</v>
      </c>
      <c r="C60" s="11">
        <v>3810</v>
      </c>
      <c r="D60" s="11">
        <f t="shared" si="0"/>
        <v>1011</v>
      </c>
      <c r="E60" s="12">
        <v>0.27</v>
      </c>
      <c r="F60" s="12" t="str">
        <f t="shared" si="1"/>
        <v>MEDIUM DISCOUNT</v>
      </c>
      <c r="G60" s="10"/>
      <c r="H60" s="13"/>
      <c r="I60" s="10" t="str">
        <f t="shared" si="2"/>
        <v>NOT PROVIDED</v>
      </c>
      <c r="J60" s="10" t="str">
        <f t="shared" si="3"/>
        <v>HIGH PRICE</v>
      </c>
    </row>
    <row r="61" spans="1:10" hidden="1" x14ac:dyDescent="0.35">
      <c r="A61" t="s">
        <v>170</v>
      </c>
      <c r="B61" s="11">
        <v>399</v>
      </c>
      <c r="C61" s="11">
        <v>896</v>
      </c>
      <c r="D61" s="11">
        <f t="shared" si="0"/>
        <v>497</v>
      </c>
      <c r="E61" s="12">
        <v>0.55000000000000004</v>
      </c>
      <c r="F61" s="12" t="str">
        <f t="shared" si="1"/>
        <v>HIGH DISCOUNT</v>
      </c>
      <c r="G61" s="10"/>
      <c r="H61" s="13"/>
      <c r="I61" s="10" t="str">
        <f t="shared" si="2"/>
        <v>NOT PROVIDED</v>
      </c>
      <c r="J61" s="10" t="str">
        <f t="shared" si="3"/>
        <v>LOW PRICE</v>
      </c>
    </row>
    <row r="62" spans="1:10" hidden="1" x14ac:dyDescent="0.35">
      <c r="A62" t="s">
        <v>182</v>
      </c>
      <c r="B62" s="11">
        <v>2170</v>
      </c>
      <c r="C62" s="11">
        <v>2500</v>
      </c>
      <c r="D62" s="11">
        <f t="shared" si="0"/>
        <v>330</v>
      </c>
      <c r="E62" s="12">
        <v>0.13</v>
      </c>
      <c r="F62" s="12" t="str">
        <f t="shared" si="1"/>
        <v>LOW DISCOUNT</v>
      </c>
      <c r="G62" s="10">
        <v>6</v>
      </c>
      <c r="H62" s="13">
        <v>2.5</v>
      </c>
      <c r="I62" s="10" t="str">
        <f t="shared" si="2"/>
        <v>POOR</v>
      </c>
      <c r="J62" s="10" t="str">
        <f t="shared" si="3"/>
        <v>HIGH PRICE</v>
      </c>
    </row>
    <row r="63" spans="1:10" hidden="1" x14ac:dyDescent="0.35">
      <c r="A63" t="s">
        <v>186</v>
      </c>
      <c r="B63" s="11">
        <v>458</v>
      </c>
      <c r="C63" s="11">
        <v>986</v>
      </c>
      <c r="D63" s="11">
        <f t="shared" si="0"/>
        <v>528</v>
      </c>
      <c r="E63" s="12">
        <v>0.54</v>
      </c>
      <c r="F63" s="12" t="str">
        <f t="shared" si="1"/>
        <v>HIGH DISCOUNT</v>
      </c>
      <c r="G63" s="10">
        <v>10</v>
      </c>
      <c r="H63" s="13">
        <v>3</v>
      </c>
      <c r="I63" s="10" t="str">
        <f t="shared" si="2"/>
        <v>AVERAGE</v>
      </c>
      <c r="J63" s="10" t="str">
        <f t="shared" si="3"/>
        <v>LOW PRICE</v>
      </c>
    </row>
    <row r="64" spans="1:10" hidden="1" x14ac:dyDescent="0.35">
      <c r="A64" t="s">
        <v>190</v>
      </c>
      <c r="B64" s="11">
        <v>2115</v>
      </c>
      <c r="C64" s="11">
        <v>4700</v>
      </c>
      <c r="D64" s="11">
        <f t="shared" si="0"/>
        <v>2585</v>
      </c>
      <c r="E64" s="12">
        <v>0.55000000000000004</v>
      </c>
      <c r="F64" s="12" t="str">
        <f t="shared" si="1"/>
        <v>HIGH DISCOUNT</v>
      </c>
      <c r="G64" s="10">
        <v>13</v>
      </c>
      <c r="H64" s="13">
        <v>2.1</v>
      </c>
      <c r="I64" s="10" t="str">
        <f t="shared" si="2"/>
        <v>POOR</v>
      </c>
      <c r="J64" s="10" t="str">
        <f t="shared" si="3"/>
        <v>HIGH PRICE</v>
      </c>
    </row>
    <row r="65" spans="1:10" x14ac:dyDescent="0.35">
      <c r="A65" t="s">
        <v>194</v>
      </c>
      <c r="B65" s="11">
        <v>445</v>
      </c>
      <c r="C65" s="11">
        <v>873</v>
      </c>
      <c r="D65" s="11">
        <f t="shared" si="0"/>
        <v>428</v>
      </c>
      <c r="E65" s="12">
        <v>0.49</v>
      </c>
      <c r="F65" s="12" t="str">
        <f t="shared" si="1"/>
        <v>HIGH DISCOUNT</v>
      </c>
      <c r="G65" s="10">
        <v>69</v>
      </c>
      <c r="H65" s="13">
        <v>2.8</v>
      </c>
      <c r="I65" s="10" t="str">
        <f t="shared" si="2"/>
        <v>POOR</v>
      </c>
      <c r="J65" s="10" t="str">
        <f t="shared" si="3"/>
        <v>LOW PRICE</v>
      </c>
    </row>
    <row r="66" spans="1:10" hidden="1" x14ac:dyDescent="0.35">
      <c r="A66" t="s">
        <v>198</v>
      </c>
      <c r="B66" s="11">
        <v>325</v>
      </c>
      <c r="C66" s="11">
        <v>680</v>
      </c>
      <c r="D66" s="11">
        <f t="shared" si="0"/>
        <v>355</v>
      </c>
      <c r="E66" s="12">
        <v>0.52</v>
      </c>
      <c r="F66" s="12" t="str">
        <f t="shared" si="1"/>
        <v>HIGH DISCOUNT</v>
      </c>
      <c r="G66" s="10">
        <v>15</v>
      </c>
      <c r="H66" s="13">
        <v>2.7</v>
      </c>
      <c r="I66" s="10" t="str">
        <f t="shared" si="2"/>
        <v>POOR</v>
      </c>
      <c r="J66" s="10" t="str">
        <f t="shared" si="3"/>
        <v>LOW PRICE</v>
      </c>
    </row>
    <row r="67" spans="1:10" hidden="1" x14ac:dyDescent="0.35">
      <c r="A67" t="s">
        <v>202</v>
      </c>
      <c r="B67" s="11">
        <v>1220</v>
      </c>
      <c r="C67" s="11">
        <v>1555</v>
      </c>
      <c r="D67" s="11">
        <f t="shared" si="0"/>
        <v>335</v>
      </c>
      <c r="E67" s="12">
        <v>0.22</v>
      </c>
      <c r="F67" s="12" t="str">
        <f t="shared" si="1"/>
        <v>MEDIUM DISCOUNT</v>
      </c>
      <c r="G67" s="10">
        <v>16</v>
      </c>
      <c r="H67" s="13">
        <v>2.9</v>
      </c>
      <c r="I67" s="10" t="str">
        <f t="shared" si="2"/>
        <v>POOR</v>
      </c>
      <c r="J67" s="10" t="str">
        <f t="shared" si="3"/>
        <v>MEDIUM PRICE</v>
      </c>
    </row>
    <row r="68" spans="1:10" hidden="1" x14ac:dyDescent="0.35">
      <c r="A68" t="s">
        <v>206</v>
      </c>
      <c r="B68" s="11">
        <v>990</v>
      </c>
      <c r="C68" s="11">
        <v>1814</v>
      </c>
      <c r="D68" s="11">
        <f t="shared" ref="D68:D114" si="4">C68-B68</f>
        <v>824</v>
      </c>
      <c r="E68" s="12">
        <v>0.45</v>
      </c>
      <c r="F68" s="12" t="str">
        <f t="shared" ref="F68:F114" si="5">IF(E68&lt;20%,"LOW DISCOUNT",IF(E68&lt;40%,"MEDIUM DISCOUNT","HIGH DISCOUNT"))</f>
        <v>HIGH DISCOUNT</v>
      </c>
      <c r="G68" s="10">
        <v>6</v>
      </c>
      <c r="H68" s="13">
        <v>2.2000000000000002</v>
      </c>
      <c r="I68" s="10" t="str">
        <f t="shared" ref="I68:I114" si="6">IF(ISBLANK(H68),"NOT PROVIDED",IF(H68&lt;3,"POOR",IF(H68&lt;4.5,"AVERAGE","EXCELLENT")))</f>
        <v>POOR</v>
      </c>
      <c r="J68" s="10" t="str">
        <f t="shared" ref="J68:J114" si="7">IF(B68&lt;1000,"LOW PRICE",IF(B68&lt;2000,"MEDIUM PRICE","HIGH PRICE"))</f>
        <v>LOW PRICE</v>
      </c>
    </row>
    <row r="69" spans="1:10" hidden="1" x14ac:dyDescent="0.35">
      <c r="A69" t="s">
        <v>209</v>
      </c>
      <c r="B69" s="11">
        <v>1000</v>
      </c>
      <c r="C69" s="11">
        <v>2000</v>
      </c>
      <c r="D69" s="11">
        <f t="shared" si="4"/>
        <v>1000</v>
      </c>
      <c r="E69" s="12">
        <v>0.5</v>
      </c>
      <c r="F69" s="12" t="str">
        <f t="shared" si="5"/>
        <v>HIGH DISCOUNT</v>
      </c>
      <c r="G69" s="10">
        <v>7</v>
      </c>
      <c r="H69" s="13">
        <v>2.2999999999999998</v>
      </c>
      <c r="I69" s="10" t="str">
        <f t="shared" si="6"/>
        <v>POOR</v>
      </c>
      <c r="J69" s="10" t="str">
        <f t="shared" si="7"/>
        <v>MEDIUM PRICE</v>
      </c>
    </row>
    <row r="70" spans="1:10" hidden="1" x14ac:dyDescent="0.35">
      <c r="A70" t="s">
        <v>212</v>
      </c>
      <c r="B70" s="11">
        <v>3750</v>
      </c>
      <c r="C70" s="11">
        <v>6143</v>
      </c>
      <c r="D70" s="11">
        <f t="shared" si="4"/>
        <v>2393</v>
      </c>
      <c r="E70" s="12">
        <v>0.39</v>
      </c>
      <c r="F70" s="12" t="str">
        <f t="shared" si="5"/>
        <v>MEDIUM DISCOUNT</v>
      </c>
      <c r="G70" s="10">
        <v>5</v>
      </c>
      <c r="H70" s="13">
        <v>3</v>
      </c>
      <c r="I70" s="10" t="str">
        <f t="shared" si="6"/>
        <v>AVERAGE</v>
      </c>
      <c r="J70" s="10" t="str">
        <f t="shared" si="7"/>
        <v>HIGH PRICE</v>
      </c>
    </row>
    <row r="71" spans="1:10" hidden="1" x14ac:dyDescent="0.35">
      <c r="A71" t="s">
        <v>215</v>
      </c>
      <c r="B71" s="11">
        <v>382</v>
      </c>
      <c r="C71" s="11">
        <v>700</v>
      </c>
      <c r="D71" s="11">
        <f t="shared" si="4"/>
        <v>318</v>
      </c>
      <c r="E71" s="12">
        <v>0.45</v>
      </c>
      <c r="F71" s="12" t="str">
        <f t="shared" si="5"/>
        <v>HIGH DISCOUNT</v>
      </c>
      <c r="G71" s="10">
        <v>17</v>
      </c>
      <c r="H71" s="13">
        <v>2.6</v>
      </c>
      <c r="I71" s="10" t="str">
        <f t="shared" si="6"/>
        <v>POOR</v>
      </c>
      <c r="J71" s="10" t="str">
        <f t="shared" si="7"/>
        <v>LOW PRICE</v>
      </c>
    </row>
    <row r="72" spans="1:10" hidden="1" x14ac:dyDescent="0.35">
      <c r="A72" t="s">
        <v>218</v>
      </c>
      <c r="B72" s="11">
        <v>2300</v>
      </c>
      <c r="C72" s="11">
        <v>3240</v>
      </c>
      <c r="D72" s="11">
        <f t="shared" si="4"/>
        <v>940</v>
      </c>
      <c r="E72" s="12">
        <v>0.28999999999999998</v>
      </c>
      <c r="F72" s="12" t="str">
        <f t="shared" si="5"/>
        <v>MEDIUM DISCOUNT</v>
      </c>
      <c r="G72" s="10">
        <v>5</v>
      </c>
      <c r="H72" s="13">
        <v>3</v>
      </c>
      <c r="I72" s="10" t="str">
        <f t="shared" si="6"/>
        <v>AVERAGE</v>
      </c>
      <c r="J72" s="10" t="str">
        <f t="shared" si="7"/>
        <v>HIGH PRICE</v>
      </c>
    </row>
    <row r="73" spans="1:10" hidden="1" x14ac:dyDescent="0.35">
      <c r="A73" t="s">
        <v>221</v>
      </c>
      <c r="B73" s="11">
        <v>345</v>
      </c>
      <c r="C73" s="11">
        <v>602</v>
      </c>
      <c r="D73" s="11">
        <f t="shared" si="4"/>
        <v>257</v>
      </c>
      <c r="E73" s="12">
        <v>0.43</v>
      </c>
      <c r="F73" s="12" t="str">
        <f t="shared" si="5"/>
        <v>HIGH DISCOUNT</v>
      </c>
      <c r="G73" s="10">
        <v>6</v>
      </c>
      <c r="H73" s="13">
        <v>2.2999999999999998</v>
      </c>
      <c r="I73" s="10" t="str">
        <f t="shared" si="6"/>
        <v>POOR</v>
      </c>
      <c r="J73" s="10" t="str">
        <f t="shared" si="7"/>
        <v>LOW PRICE</v>
      </c>
    </row>
    <row r="74" spans="1:10" hidden="1" x14ac:dyDescent="0.35">
      <c r="A74" t="s">
        <v>224</v>
      </c>
      <c r="B74" s="11">
        <v>509</v>
      </c>
      <c r="C74" s="11">
        <v>899</v>
      </c>
      <c r="D74" s="11">
        <f t="shared" si="4"/>
        <v>390</v>
      </c>
      <c r="E74" s="12">
        <v>0.43</v>
      </c>
      <c r="F74" s="12" t="str">
        <f t="shared" si="5"/>
        <v>HIGH DISCOUNT</v>
      </c>
      <c r="G74" s="10">
        <v>5</v>
      </c>
      <c r="H74" s="13">
        <v>3</v>
      </c>
      <c r="I74" s="10" t="str">
        <f t="shared" si="6"/>
        <v>AVERAGE</v>
      </c>
      <c r="J74" s="10" t="str">
        <f t="shared" si="7"/>
        <v>LOW PRICE</v>
      </c>
    </row>
    <row r="75" spans="1:10" hidden="1" x14ac:dyDescent="0.35">
      <c r="A75" t="s">
        <v>227</v>
      </c>
      <c r="B75" s="11">
        <v>968</v>
      </c>
      <c r="C75" s="11">
        <v>1814</v>
      </c>
      <c r="D75" s="11">
        <f t="shared" si="4"/>
        <v>846</v>
      </c>
      <c r="E75" s="12">
        <v>0.47</v>
      </c>
      <c r="F75" s="12" t="str">
        <f t="shared" si="5"/>
        <v>HIGH DISCOUNT</v>
      </c>
      <c r="G75" s="10">
        <v>6</v>
      </c>
      <c r="H75" s="13">
        <v>2.2000000000000002</v>
      </c>
      <c r="I75" s="10" t="str">
        <f t="shared" si="6"/>
        <v>POOR</v>
      </c>
      <c r="J75" s="10" t="str">
        <f t="shared" si="7"/>
        <v>LOW PRICE</v>
      </c>
    </row>
    <row r="76" spans="1:10" hidden="1" x14ac:dyDescent="0.35">
      <c r="A76" t="s">
        <v>229</v>
      </c>
      <c r="B76" s="11">
        <v>1570</v>
      </c>
      <c r="C76" s="11">
        <v>2988</v>
      </c>
      <c r="D76" s="11">
        <f t="shared" si="4"/>
        <v>1418</v>
      </c>
      <c r="E76" s="12">
        <v>0.47</v>
      </c>
      <c r="F76" s="12" t="str">
        <f t="shared" si="5"/>
        <v>HIGH DISCOUNT</v>
      </c>
      <c r="G76" s="10">
        <v>7</v>
      </c>
      <c r="H76" s="13">
        <v>2.1</v>
      </c>
      <c r="I76" s="10" t="str">
        <f t="shared" si="6"/>
        <v>POOR</v>
      </c>
      <c r="J76" s="10" t="str">
        <f t="shared" si="7"/>
        <v>MEDIUM PRICE</v>
      </c>
    </row>
    <row r="77" spans="1:10" hidden="1" x14ac:dyDescent="0.35">
      <c r="A77" t="s">
        <v>232</v>
      </c>
      <c r="B77" s="11">
        <v>790</v>
      </c>
      <c r="C77" s="11">
        <v>1485</v>
      </c>
      <c r="D77" s="11">
        <f t="shared" si="4"/>
        <v>695</v>
      </c>
      <c r="E77" s="12">
        <v>0.47</v>
      </c>
      <c r="F77" s="12" t="str">
        <f t="shared" si="5"/>
        <v>HIGH DISCOUNT</v>
      </c>
      <c r="G77" s="10"/>
      <c r="H77" s="13"/>
      <c r="I77" s="10" t="str">
        <f t="shared" si="6"/>
        <v>NOT PROVIDED</v>
      </c>
      <c r="J77" s="10" t="str">
        <f t="shared" si="7"/>
        <v>LOW PRICE</v>
      </c>
    </row>
    <row r="78" spans="1:10" hidden="1" x14ac:dyDescent="0.35">
      <c r="A78" t="s">
        <v>235</v>
      </c>
      <c r="B78" s="11">
        <v>690</v>
      </c>
      <c r="C78" s="11">
        <v>1200</v>
      </c>
      <c r="D78" s="11">
        <f t="shared" si="4"/>
        <v>510</v>
      </c>
      <c r="E78" s="12">
        <v>0.43</v>
      </c>
      <c r="F78" s="12" t="str">
        <f t="shared" si="5"/>
        <v>HIGH DISCOUNT</v>
      </c>
      <c r="G78" s="10"/>
      <c r="H78" s="13"/>
      <c r="I78" s="10" t="str">
        <f t="shared" si="6"/>
        <v>NOT PROVIDED</v>
      </c>
      <c r="J78" s="10" t="str">
        <f t="shared" si="7"/>
        <v>LOW PRICE</v>
      </c>
    </row>
    <row r="79" spans="1:10" hidden="1" x14ac:dyDescent="0.35">
      <c r="A79" t="s">
        <v>237</v>
      </c>
      <c r="B79" s="11">
        <v>1732</v>
      </c>
      <c r="C79" s="11">
        <v>1799</v>
      </c>
      <c r="D79" s="11">
        <f t="shared" si="4"/>
        <v>67</v>
      </c>
      <c r="E79" s="12">
        <v>0.04</v>
      </c>
      <c r="F79" s="12" t="str">
        <f t="shared" si="5"/>
        <v>LOW DISCOUNT</v>
      </c>
      <c r="G79" s="10"/>
      <c r="H79" s="13"/>
      <c r="I79" s="10" t="str">
        <f t="shared" si="6"/>
        <v>NOT PROVIDED</v>
      </c>
      <c r="J79" s="10" t="str">
        <f t="shared" si="7"/>
        <v>MEDIUM PRICE</v>
      </c>
    </row>
    <row r="80" spans="1:10" hidden="1" x14ac:dyDescent="0.35">
      <c r="A80" t="s">
        <v>240</v>
      </c>
      <c r="B80" s="11">
        <v>230</v>
      </c>
      <c r="C80" s="11">
        <v>450</v>
      </c>
      <c r="D80" s="11">
        <f t="shared" si="4"/>
        <v>220</v>
      </c>
      <c r="E80" s="12">
        <v>0.49</v>
      </c>
      <c r="F80" s="12" t="str">
        <f t="shared" si="5"/>
        <v>HIGH DISCOUNT</v>
      </c>
      <c r="G80" s="10"/>
      <c r="H80" s="13"/>
      <c r="I80" s="10" t="str">
        <f t="shared" si="6"/>
        <v>NOT PROVIDED</v>
      </c>
      <c r="J80" s="10" t="str">
        <f t="shared" si="7"/>
        <v>LOW PRICE</v>
      </c>
    </row>
    <row r="81" spans="1:10" hidden="1" x14ac:dyDescent="0.35">
      <c r="A81" t="s">
        <v>243</v>
      </c>
      <c r="B81" s="11">
        <v>1189</v>
      </c>
      <c r="C81" s="11">
        <v>2199</v>
      </c>
      <c r="D81" s="11">
        <f t="shared" si="4"/>
        <v>1010</v>
      </c>
      <c r="E81" s="12">
        <v>0.46</v>
      </c>
      <c r="F81" s="12" t="str">
        <f t="shared" si="5"/>
        <v>HIGH DISCOUNT</v>
      </c>
      <c r="G81" s="10">
        <v>1</v>
      </c>
      <c r="H81" s="13">
        <v>3</v>
      </c>
      <c r="I81" s="10" t="str">
        <f t="shared" si="6"/>
        <v>AVERAGE</v>
      </c>
      <c r="J81" s="10" t="str">
        <f t="shared" si="7"/>
        <v>MEDIUM PRICE</v>
      </c>
    </row>
    <row r="82" spans="1:10" hidden="1" x14ac:dyDescent="0.35">
      <c r="A82" t="s">
        <v>245</v>
      </c>
      <c r="B82" s="11">
        <v>979</v>
      </c>
      <c r="C82" s="11">
        <v>1920</v>
      </c>
      <c r="D82" s="11">
        <f t="shared" si="4"/>
        <v>941</v>
      </c>
      <c r="E82" s="12">
        <v>0.49</v>
      </c>
      <c r="F82" s="12" t="str">
        <f t="shared" si="5"/>
        <v>HIGH DISCOUNT</v>
      </c>
      <c r="G82" s="10">
        <v>1</v>
      </c>
      <c r="H82" s="13">
        <v>5</v>
      </c>
      <c r="I82" s="10" t="str">
        <f t="shared" si="6"/>
        <v>EXCELLENT</v>
      </c>
      <c r="J82" s="10" t="str">
        <f t="shared" si="7"/>
        <v>LOW PRICE</v>
      </c>
    </row>
    <row r="83" spans="1:10" hidden="1" x14ac:dyDescent="0.35">
      <c r="A83" t="s">
        <v>248</v>
      </c>
      <c r="B83" s="11">
        <v>1460</v>
      </c>
      <c r="C83" s="11">
        <v>2290</v>
      </c>
      <c r="D83" s="11">
        <f t="shared" si="4"/>
        <v>830</v>
      </c>
      <c r="E83" s="12">
        <v>0.36</v>
      </c>
      <c r="F83" s="12" t="str">
        <f t="shared" si="5"/>
        <v>MEDIUM DISCOUNT</v>
      </c>
      <c r="G83" s="10"/>
      <c r="H83" s="13"/>
      <c r="I83" s="10" t="str">
        <f t="shared" si="6"/>
        <v>NOT PROVIDED</v>
      </c>
      <c r="J83" s="10" t="str">
        <f t="shared" si="7"/>
        <v>MEDIUM PRICE</v>
      </c>
    </row>
    <row r="84" spans="1:10" hidden="1" x14ac:dyDescent="0.35">
      <c r="A84" t="s">
        <v>251</v>
      </c>
      <c r="B84" s="11">
        <v>1666</v>
      </c>
      <c r="C84" s="11">
        <v>1699</v>
      </c>
      <c r="D84" s="11">
        <f t="shared" si="4"/>
        <v>33</v>
      </c>
      <c r="E84" s="12">
        <v>0.02</v>
      </c>
      <c r="F84" s="12" t="str">
        <f t="shared" si="5"/>
        <v>LOW DISCOUNT</v>
      </c>
      <c r="G84" s="10"/>
      <c r="H84" s="13"/>
      <c r="I84" s="10" t="str">
        <f t="shared" si="6"/>
        <v>NOT PROVIDED</v>
      </c>
      <c r="J84" s="10" t="str">
        <f t="shared" si="7"/>
        <v>MEDIUM PRICE</v>
      </c>
    </row>
    <row r="85" spans="1:10" hidden="1" x14ac:dyDescent="0.35">
      <c r="A85" t="s">
        <v>253</v>
      </c>
      <c r="B85" s="11">
        <v>330</v>
      </c>
      <c r="C85" s="11">
        <v>647</v>
      </c>
      <c r="D85" s="11">
        <f t="shared" si="4"/>
        <v>317</v>
      </c>
      <c r="E85" s="12">
        <v>0.49</v>
      </c>
      <c r="F85" s="12" t="str">
        <f t="shared" si="5"/>
        <v>HIGH DISCOUNT</v>
      </c>
      <c r="G85" s="10">
        <v>1</v>
      </c>
      <c r="H85" s="13">
        <v>4</v>
      </c>
      <c r="I85" s="10" t="str">
        <f t="shared" si="6"/>
        <v>AVERAGE</v>
      </c>
      <c r="J85" s="10" t="str">
        <f t="shared" si="7"/>
        <v>LOW PRICE</v>
      </c>
    </row>
    <row r="86" spans="1:10" hidden="1" x14ac:dyDescent="0.35">
      <c r="A86" t="s">
        <v>154</v>
      </c>
      <c r="B86" s="11">
        <v>176</v>
      </c>
      <c r="C86" s="11">
        <v>345</v>
      </c>
      <c r="D86" s="11">
        <f t="shared" si="4"/>
        <v>169</v>
      </c>
      <c r="E86" s="12">
        <v>0.49</v>
      </c>
      <c r="F86" s="12" t="str">
        <f t="shared" si="5"/>
        <v>HIGH DISCOUNT</v>
      </c>
      <c r="G86" s="10"/>
      <c r="H86" s="13"/>
      <c r="I86" s="10" t="str">
        <f t="shared" si="6"/>
        <v>NOT PROVIDED</v>
      </c>
      <c r="J86" s="10" t="str">
        <f t="shared" si="7"/>
        <v>LOW PRICE</v>
      </c>
    </row>
    <row r="87" spans="1:10" hidden="1" x14ac:dyDescent="0.35">
      <c r="A87" t="s">
        <v>256</v>
      </c>
      <c r="B87" s="11">
        <v>1466</v>
      </c>
      <c r="C87" s="11">
        <v>1699</v>
      </c>
      <c r="D87" s="11">
        <f t="shared" si="4"/>
        <v>233</v>
      </c>
      <c r="E87" s="12">
        <v>0.14000000000000001</v>
      </c>
      <c r="F87" s="12" t="str">
        <f t="shared" si="5"/>
        <v>LOW DISCOUNT</v>
      </c>
      <c r="G87" s="10"/>
      <c r="H87" s="13"/>
      <c r="I87" s="10" t="str">
        <f t="shared" si="6"/>
        <v>NOT PROVIDED</v>
      </c>
      <c r="J87" s="10" t="str">
        <f t="shared" si="7"/>
        <v>MEDIUM PRICE</v>
      </c>
    </row>
    <row r="88" spans="1:10" hidden="1" x14ac:dyDescent="0.35">
      <c r="A88" t="s">
        <v>258</v>
      </c>
      <c r="B88" s="11">
        <v>274</v>
      </c>
      <c r="C88" s="11">
        <v>537</v>
      </c>
      <c r="D88" s="11">
        <f t="shared" si="4"/>
        <v>263</v>
      </c>
      <c r="E88" s="12">
        <v>0.49</v>
      </c>
      <c r="F88" s="12" t="str">
        <f t="shared" si="5"/>
        <v>HIGH DISCOUNT</v>
      </c>
      <c r="G88" s="10"/>
      <c r="H88" s="13"/>
      <c r="I88" s="10" t="str">
        <f t="shared" si="6"/>
        <v>NOT PROVIDED</v>
      </c>
      <c r="J88" s="10" t="str">
        <f t="shared" si="7"/>
        <v>LOW PRICE</v>
      </c>
    </row>
    <row r="89" spans="1:10" hidden="1" x14ac:dyDescent="0.35">
      <c r="A89" t="s">
        <v>261</v>
      </c>
      <c r="B89" s="11">
        <v>799</v>
      </c>
      <c r="C89" s="11">
        <v>900</v>
      </c>
      <c r="D89" s="11">
        <f t="shared" si="4"/>
        <v>101</v>
      </c>
      <c r="E89" s="12">
        <v>0.11</v>
      </c>
      <c r="F89" s="12" t="str">
        <f t="shared" si="5"/>
        <v>LOW DISCOUNT</v>
      </c>
      <c r="G89" s="10"/>
      <c r="H89" s="13"/>
      <c r="I89" s="10" t="str">
        <f t="shared" si="6"/>
        <v>NOT PROVIDED</v>
      </c>
      <c r="J89" s="10" t="str">
        <f t="shared" si="7"/>
        <v>LOW PRICE</v>
      </c>
    </row>
    <row r="90" spans="1:10" hidden="1" x14ac:dyDescent="0.35">
      <c r="A90" t="s">
        <v>175</v>
      </c>
      <c r="B90" s="11">
        <v>657</v>
      </c>
      <c r="C90" s="11">
        <v>1288</v>
      </c>
      <c r="D90" s="11">
        <f t="shared" si="4"/>
        <v>631</v>
      </c>
      <c r="E90" s="12">
        <v>0.49</v>
      </c>
      <c r="F90" s="12" t="str">
        <f t="shared" si="5"/>
        <v>HIGH DISCOUNT</v>
      </c>
      <c r="G90" s="10"/>
      <c r="H90" s="13"/>
      <c r="I90" s="10" t="str">
        <f t="shared" si="6"/>
        <v>NOT PROVIDED</v>
      </c>
      <c r="J90" s="10" t="str">
        <f t="shared" si="7"/>
        <v>LOW PRICE</v>
      </c>
    </row>
    <row r="91" spans="1:10" hidden="1" x14ac:dyDescent="0.35">
      <c r="A91" t="s">
        <v>264</v>
      </c>
      <c r="B91" s="11">
        <v>1468</v>
      </c>
      <c r="C91" s="11">
        <v>1699</v>
      </c>
      <c r="D91" s="11">
        <f t="shared" si="4"/>
        <v>231</v>
      </c>
      <c r="E91" s="12">
        <v>0.14000000000000001</v>
      </c>
      <c r="F91" s="12" t="str">
        <f t="shared" si="5"/>
        <v>LOW DISCOUNT</v>
      </c>
      <c r="G91" s="10"/>
      <c r="H91" s="13"/>
      <c r="I91" s="10" t="str">
        <f t="shared" si="6"/>
        <v>NOT PROVIDED</v>
      </c>
      <c r="J91" s="10" t="str">
        <f t="shared" si="7"/>
        <v>MEDIUM PRICE</v>
      </c>
    </row>
    <row r="92" spans="1:10" hidden="1" x14ac:dyDescent="0.35">
      <c r="A92" t="s">
        <v>266</v>
      </c>
      <c r="B92" s="11">
        <v>630</v>
      </c>
      <c r="C92" s="11">
        <v>1100</v>
      </c>
      <c r="D92" s="11">
        <f t="shared" si="4"/>
        <v>470</v>
      </c>
      <c r="E92" s="12">
        <v>0.43</v>
      </c>
      <c r="F92" s="12" t="str">
        <f t="shared" si="5"/>
        <v>HIGH DISCOUNT</v>
      </c>
      <c r="G92" s="10"/>
      <c r="H92" s="13"/>
      <c r="I92" s="10" t="str">
        <f t="shared" si="6"/>
        <v>NOT PROVIDED</v>
      </c>
      <c r="J92" s="10" t="str">
        <f t="shared" si="7"/>
        <v>LOW PRICE</v>
      </c>
    </row>
    <row r="93" spans="1:10" hidden="1" x14ac:dyDescent="0.35">
      <c r="A93" t="s">
        <v>269</v>
      </c>
      <c r="B93" s="11">
        <v>850</v>
      </c>
      <c r="C93" s="11">
        <v>1700</v>
      </c>
      <c r="D93" s="11">
        <f t="shared" si="4"/>
        <v>850</v>
      </c>
      <c r="E93" s="12">
        <v>0.5</v>
      </c>
      <c r="F93" s="12" t="str">
        <f t="shared" si="5"/>
        <v>HIGH DISCOUNT</v>
      </c>
      <c r="G93" s="10"/>
      <c r="H93" s="13"/>
      <c r="I93" s="10" t="str">
        <f t="shared" si="6"/>
        <v>NOT PROVIDED</v>
      </c>
      <c r="J93" s="10" t="str">
        <f t="shared" si="7"/>
        <v>LOW PRICE</v>
      </c>
    </row>
    <row r="94" spans="1:10" hidden="1" x14ac:dyDescent="0.35">
      <c r="A94" t="s">
        <v>272</v>
      </c>
      <c r="B94" s="11">
        <v>1300</v>
      </c>
      <c r="C94" s="11">
        <v>2500</v>
      </c>
      <c r="D94" s="11">
        <f t="shared" si="4"/>
        <v>1200</v>
      </c>
      <c r="E94" s="12">
        <v>0.48</v>
      </c>
      <c r="F94" s="12" t="str">
        <f t="shared" si="5"/>
        <v>HIGH DISCOUNT</v>
      </c>
      <c r="G94" s="10"/>
      <c r="H94" s="13"/>
      <c r="I94" s="10" t="str">
        <f t="shared" si="6"/>
        <v>NOT PROVIDED</v>
      </c>
      <c r="J94" s="10" t="str">
        <f t="shared" si="7"/>
        <v>MEDIUM PRICE</v>
      </c>
    </row>
    <row r="95" spans="1:10" hidden="1" x14ac:dyDescent="0.35">
      <c r="A95" t="s">
        <v>274</v>
      </c>
      <c r="B95" s="11">
        <v>105</v>
      </c>
      <c r="C95" s="11">
        <v>200</v>
      </c>
      <c r="D95" s="11">
        <f t="shared" si="4"/>
        <v>95</v>
      </c>
      <c r="E95" s="12">
        <v>0.48</v>
      </c>
      <c r="F95" s="12" t="str">
        <f t="shared" si="5"/>
        <v>HIGH DISCOUNT</v>
      </c>
      <c r="G95" s="10"/>
      <c r="H95" s="13"/>
      <c r="I95" s="10" t="str">
        <f t="shared" si="6"/>
        <v>NOT PROVIDED</v>
      </c>
      <c r="J95" s="10" t="str">
        <f t="shared" si="7"/>
        <v>LOW PRICE</v>
      </c>
    </row>
    <row r="96" spans="1:10" hidden="1" x14ac:dyDescent="0.35">
      <c r="A96" t="s">
        <v>277</v>
      </c>
      <c r="B96" s="11">
        <v>899</v>
      </c>
      <c r="C96" s="11">
        <v>1699</v>
      </c>
      <c r="D96" s="11">
        <f t="shared" si="4"/>
        <v>800</v>
      </c>
      <c r="E96" s="12">
        <v>0.47</v>
      </c>
      <c r="F96" s="12" t="str">
        <f t="shared" si="5"/>
        <v>HIGH DISCOUNT</v>
      </c>
      <c r="G96" s="10"/>
      <c r="H96" s="13"/>
      <c r="I96" s="10" t="str">
        <f t="shared" si="6"/>
        <v>NOT PROVIDED</v>
      </c>
      <c r="J96" s="10" t="str">
        <f t="shared" si="7"/>
        <v>LOW PRICE</v>
      </c>
    </row>
    <row r="97" spans="1:10" hidden="1" x14ac:dyDescent="0.35">
      <c r="A97" t="s">
        <v>278</v>
      </c>
      <c r="B97" s="11">
        <v>1200</v>
      </c>
      <c r="C97" s="11">
        <v>2400</v>
      </c>
      <c r="D97" s="11">
        <f t="shared" si="4"/>
        <v>1200</v>
      </c>
      <c r="E97" s="12">
        <v>0.5</v>
      </c>
      <c r="F97" s="12" t="str">
        <f t="shared" si="5"/>
        <v>HIGH DISCOUNT</v>
      </c>
      <c r="G97" s="10"/>
      <c r="H97" s="13"/>
      <c r="I97" s="10" t="str">
        <f t="shared" si="6"/>
        <v>NOT PROVIDED</v>
      </c>
      <c r="J97" s="10" t="str">
        <f t="shared" si="7"/>
        <v>MEDIUM PRICE</v>
      </c>
    </row>
    <row r="98" spans="1:10" hidden="1" x14ac:dyDescent="0.35">
      <c r="A98" t="s">
        <v>280</v>
      </c>
      <c r="B98" s="11">
        <v>1526</v>
      </c>
      <c r="C98" s="11">
        <v>1660</v>
      </c>
      <c r="D98" s="11">
        <f t="shared" si="4"/>
        <v>134</v>
      </c>
      <c r="E98" s="12">
        <v>0.08</v>
      </c>
      <c r="F98" s="12" t="str">
        <f t="shared" si="5"/>
        <v>LOW DISCOUNT</v>
      </c>
      <c r="G98" s="10"/>
      <c r="H98" s="13"/>
      <c r="I98" s="10" t="str">
        <f t="shared" si="6"/>
        <v>NOT PROVIDED</v>
      </c>
      <c r="J98" s="10" t="str">
        <f t="shared" si="7"/>
        <v>MEDIUM PRICE</v>
      </c>
    </row>
    <row r="99" spans="1:10" hidden="1" x14ac:dyDescent="0.35">
      <c r="A99" t="s">
        <v>282</v>
      </c>
      <c r="B99" s="11">
        <v>1462</v>
      </c>
      <c r="C99" s="11">
        <v>1499</v>
      </c>
      <c r="D99" s="11">
        <f t="shared" si="4"/>
        <v>37</v>
      </c>
      <c r="E99" s="12">
        <v>0.02</v>
      </c>
      <c r="F99" s="12" t="str">
        <f t="shared" si="5"/>
        <v>LOW DISCOUNT</v>
      </c>
      <c r="G99" s="10"/>
      <c r="H99" s="13"/>
      <c r="I99" s="10" t="str">
        <f t="shared" si="6"/>
        <v>NOT PROVIDED</v>
      </c>
      <c r="J99" s="10" t="str">
        <f t="shared" si="7"/>
        <v>MEDIUM PRICE</v>
      </c>
    </row>
    <row r="100" spans="1:10" hidden="1" x14ac:dyDescent="0.35">
      <c r="A100" t="s">
        <v>284</v>
      </c>
      <c r="B100" s="11">
        <v>248</v>
      </c>
      <c r="C100" s="11">
        <v>486</v>
      </c>
      <c r="D100" s="11">
        <f t="shared" si="4"/>
        <v>238</v>
      </c>
      <c r="E100" s="12">
        <v>0.49</v>
      </c>
      <c r="F100" s="12" t="str">
        <f t="shared" si="5"/>
        <v>HIGH DISCOUNT</v>
      </c>
      <c r="G100" s="10"/>
      <c r="H100" s="13"/>
      <c r="I100" s="10" t="str">
        <f t="shared" si="6"/>
        <v>NOT PROVIDED</v>
      </c>
      <c r="J100" s="10" t="str">
        <f t="shared" si="7"/>
        <v>LOW PRICE</v>
      </c>
    </row>
    <row r="101" spans="1:10" hidden="1" x14ac:dyDescent="0.35">
      <c r="A101" t="s">
        <v>287</v>
      </c>
      <c r="B101" s="11">
        <v>3546</v>
      </c>
      <c r="C101" s="11">
        <v>3699</v>
      </c>
      <c r="D101" s="11">
        <f t="shared" si="4"/>
        <v>153</v>
      </c>
      <c r="E101" s="12">
        <v>0.04</v>
      </c>
      <c r="F101" s="12" t="str">
        <f t="shared" si="5"/>
        <v>LOW DISCOUNT</v>
      </c>
      <c r="G101" s="10"/>
      <c r="H101" s="13"/>
      <c r="I101" s="10" t="str">
        <f t="shared" si="6"/>
        <v>NOT PROVIDED</v>
      </c>
      <c r="J101" s="10" t="str">
        <f t="shared" si="7"/>
        <v>HIGH PRICE</v>
      </c>
    </row>
    <row r="102" spans="1:10" hidden="1" x14ac:dyDescent="0.35">
      <c r="A102" t="s">
        <v>289</v>
      </c>
      <c r="B102" s="11">
        <v>525</v>
      </c>
      <c r="C102" s="11">
        <v>1029</v>
      </c>
      <c r="D102" s="11">
        <f t="shared" si="4"/>
        <v>504</v>
      </c>
      <c r="E102" s="12">
        <v>0.49</v>
      </c>
      <c r="F102" s="12" t="str">
        <f t="shared" si="5"/>
        <v>HIGH DISCOUNT</v>
      </c>
      <c r="G102" s="10"/>
      <c r="H102" s="13"/>
      <c r="I102" s="10" t="str">
        <f t="shared" si="6"/>
        <v>NOT PROVIDED</v>
      </c>
      <c r="J102" s="10" t="str">
        <f t="shared" si="7"/>
        <v>LOW PRICE</v>
      </c>
    </row>
    <row r="103" spans="1:10" hidden="1" x14ac:dyDescent="0.35">
      <c r="A103" t="s">
        <v>292</v>
      </c>
      <c r="B103" s="11">
        <v>1080</v>
      </c>
      <c r="C103" s="11">
        <v>1874</v>
      </c>
      <c r="D103" s="11">
        <f t="shared" si="4"/>
        <v>794</v>
      </c>
      <c r="E103" s="12">
        <v>0.42</v>
      </c>
      <c r="F103" s="12" t="str">
        <f t="shared" si="5"/>
        <v>HIGH DISCOUNT</v>
      </c>
      <c r="G103" s="10"/>
      <c r="H103" s="13"/>
      <c r="I103" s="10" t="str">
        <f t="shared" si="6"/>
        <v>NOT PROVIDED</v>
      </c>
      <c r="J103" s="10" t="str">
        <f t="shared" si="7"/>
        <v>MEDIUM PRICE</v>
      </c>
    </row>
    <row r="104" spans="1:10" hidden="1" x14ac:dyDescent="0.35">
      <c r="A104" t="s">
        <v>295</v>
      </c>
      <c r="B104" s="11">
        <v>3640</v>
      </c>
      <c r="C104" s="11">
        <v>4588</v>
      </c>
      <c r="D104" s="11">
        <f t="shared" si="4"/>
        <v>948</v>
      </c>
      <c r="E104" s="12">
        <v>0.21</v>
      </c>
      <c r="F104" s="12" t="str">
        <f t="shared" si="5"/>
        <v>MEDIUM DISCOUNT</v>
      </c>
      <c r="G104" s="10">
        <v>1</v>
      </c>
      <c r="H104" s="13">
        <v>5</v>
      </c>
      <c r="I104" s="10" t="str">
        <f t="shared" si="6"/>
        <v>EXCELLENT</v>
      </c>
      <c r="J104" s="10" t="str">
        <f t="shared" si="7"/>
        <v>HIGH PRICE</v>
      </c>
    </row>
    <row r="105" spans="1:10" hidden="1" x14ac:dyDescent="0.35">
      <c r="A105" t="s">
        <v>298</v>
      </c>
      <c r="B105" s="11">
        <v>1420</v>
      </c>
      <c r="C105" s="11">
        <v>2420</v>
      </c>
      <c r="D105" s="11">
        <f t="shared" si="4"/>
        <v>1000</v>
      </c>
      <c r="E105" s="12">
        <v>0.41</v>
      </c>
      <c r="F105" s="12" t="str">
        <f t="shared" si="5"/>
        <v>HIGH DISCOUNT</v>
      </c>
      <c r="G105" s="10"/>
      <c r="H105" s="13"/>
      <c r="I105" s="10" t="str">
        <f t="shared" si="6"/>
        <v>NOT PROVIDED</v>
      </c>
      <c r="J105" s="10" t="str">
        <f t="shared" si="7"/>
        <v>MEDIUM PRICE</v>
      </c>
    </row>
    <row r="106" spans="1:10" hidden="1" x14ac:dyDescent="0.35">
      <c r="A106" t="s">
        <v>301</v>
      </c>
      <c r="B106" s="11">
        <v>1875</v>
      </c>
      <c r="C106" s="11">
        <v>1899</v>
      </c>
      <c r="D106" s="11">
        <f t="shared" si="4"/>
        <v>24</v>
      </c>
      <c r="E106" s="12">
        <v>0.01</v>
      </c>
      <c r="F106" s="12" t="str">
        <f t="shared" si="5"/>
        <v>LOW DISCOUNT</v>
      </c>
      <c r="G106" s="10"/>
      <c r="H106" s="13"/>
      <c r="I106" s="10" t="str">
        <f t="shared" si="6"/>
        <v>NOT PROVIDED</v>
      </c>
      <c r="J106" s="10" t="str">
        <f t="shared" si="7"/>
        <v>MEDIUM PRICE</v>
      </c>
    </row>
    <row r="107" spans="1:10" hidden="1" x14ac:dyDescent="0.35">
      <c r="A107" t="s">
        <v>304</v>
      </c>
      <c r="B107" s="11">
        <v>198</v>
      </c>
      <c r="C107" s="11">
        <v>260</v>
      </c>
      <c r="D107" s="11">
        <f t="shared" si="4"/>
        <v>62</v>
      </c>
      <c r="E107" s="12">
        <v>0.24</v>
      </c>
      <c r="F107" s="12" t="str">
        <f t="shared" si="5"/>
        <v>MEDIUM DISCOUNT</v>
      </c>
      <c r="G107" s="10"/>
      <c r="H107" s="13"/>
      <c r="I107" s="10" t="str">
        <f t="shared" si="6"/>
        <v>NOT PROVIDED</v>
      </c>
      <c r="J107" s="10" t="str">
        <f t="shared" si="7"/>
        <v>LOW PRICE</v>
      </c>
    </row>
    <row r="108" spans="1:10" hidden="1" x14ac:dyDescent="0.35">
      <c r="A108" t="s">
        <v>307</v>
      </c>
      <c r="B108" s="11">
        <v>1150</v>
      </c>
      <c r="C108" s="11">
        <v>1737</v>
      </c>
      <c r="D108" s="11">
        <f t="shared" si="4"/>
        <v>587</v>
      </c>
      <c r="E108" s="12">
        <v>0.34</v>
      </c>
      <c r="F108" s="12" t="str">
        <f t="shared" si="5"/>
        <v>MEDIUM DISCOUNT</v>
      </c>
      <c r="G108" s="10"/>
      <c r="H108" s="13"/>
      <c r="I108" s="10" t="str">
        <f t="shared" si="6"/>
        <v>NOT PROVIDED</v>
      </c>
      <c r="J108" s="10" t="str">
        <f t="shared" si="7"/>
        <v>MEDIUM PRICE</v>
      </c>
    </row>
    <row r="109" spans="1:10" hidden="1" x14ac:dyDescent="0.35">
      <c r="A109" t="s">
        <v>310</v>
      </c>
      <c r="B109" s="11">
        <v>1190</v>
      </c>
      <c r="C109" s="11">
        <v>1810</v>
      </c>
      <c r="D109" s="11">
        <f t="shared" si="4"/>
        <v>620</v>
      </c>
      <c r="E109" s="12">
        <v>0.34</v>
      </c>
      <c r="F109" s="12" t="str">
        <f t="shared" si="5"/>
        <v>MEDIUM DISCOUNT</v>
      </c>
      <c r="G109" s="10"/>
      <c r="H109" s="13"/>
      <c r="I109" s="10" t="str">
        <f t="shared" si="6"/>
        <v>NOT PROVIDED</v>
      </c>
      <c r="J109" s="10" t="str">
        <f t="shared" si="7"/>
        <v>MEDIUM PRICE</v>
      </c>
    </row>
    <row r="110" spans="1:10" hidden="1" x14ac:dyDescent="0.35">
      <c r="A110" t="s">
        <v>312</v>
      </c>
      <c r="B110" s="11">
        <v>1658</v>
      </c>
      <c r="C110" s="11">
        <v>1699</v>
      </c>
      <c r="D110" s="11">
        <f t="shared" si="4"/>
        <v>41</v>
      </c>
      <c r="E110" s="12">
        <v>0.02</v>
      </c>
      <c r="F110" s="12" t="str">
        <f t="shared" si="5"/>
        <v>LOW DISCOUNT</v>
      </c>
      <c r="G110" s="10"/>
      <c r="H110" s="13"/>
      <c r="I110" s="10" t="str">
        <f t="shared" si="6"/>
        <v>NOT PROVIDED</v>
      </c>
      <c r="J110" s="10" t="str">
        <f t="shared" si="7"/>
        <v>MEDIUM PRICE</v>
      </c>
    </row>
    <row r="111" spans="1:10" hidden="1" x14ac:dyDescent="0.35">
      <c r="A111" t="s">
        <v>314</v>
      </c>
      <c r="B111" s="11">
        <v>1768</v>
      </c>
      <c r="C111" s="11">
        <v>1799</v>
      </c>
      <c r="D111" s="11">
        <f t="shared" si="4"/>
        <v>31</v>
      </c>
      <c r="E111" s="12">
        <v>0.02</v>
      </c>
      <c r="F111" s="12" t="str">
        <f t="shared" si="5"/>
        <v>LOW DISCOUNT</v>
      </c>
      <c r="G111" s="10"/>
      <c r="H111" s="13"/>
      <c r="I111" s="10" t="str">
        <f t="shared" si="6"/>
        <v>NOT PROVIDED</v>
      </c>
      <c r="J111" s="10" t="str">
        <f t="shared" si="7"/>
        <v>MEDIUM PRICE</v>
      </c>
    </row>
    <row r="112" spans="1:10" hidden="1" x14ac:dyDescent="0.35">
      <c r="A112" t="s">
        <v>316</v>
      </c>
      <c r="B112" s="11">
        <v>199</v>
      </c>
      <c r="C112" s="11">
        <v>553</v>
      </c>
      <c r="D112" s="11">
        <f t="shared" si="4"/>
        <v>354</v>
      </c>
      <c r="E112" s="12">
        <v>0.64</v>
      </c>
      <c r="F112" s="12" t="str">
        <f t="shared" si="5"/>
        <v>HIGH DISCOUNT</v>
      </c>
      <c r="G112" s="10"/>
      <c r="H112" s="13"/>
      <c r="I112" s="10" t="str">
        <f t="shared" si="6"/>
        <v>NOT PROVIDED</v>
      </c>
      <c r="J112" s="10" t="str">
        <f t="shared" si="7"/>
        <v>LOW PRICE</v>
      </c>
    </row>
    <row r="113" spans="1:10" hidden="1" x14ac:dyDescent="0.35">
      <c r="A113" t="s">
        <v>318</v>
      </c>
      <c r="B113" s="11">
        <v>450</v>
      </c>
      <c r="C113" s="11">
        <v>900</v>
      </c>
      <c r="D113" s="11">
        <f t="shared" si="4"/>
        <v>450</v>
      </c>
      <c r="E113" s="12">
        <v>0.5</v>
      </c>
      <c r="F113" s="12" t="str">
        <f t="shared" si="5"/>
        <v>HIGH DISCOUNT</v>
      </c>
      <c r="G113" s="10">
        <v>1</v>
      </c>
      <c r="H113" s="13">
        <v>2</v>
      </c>
      <c r="I113" s="10" t="str">
        <f t="shared" si="6"/>
        <v>POOR</v>
      </c>
      <c r="J113" s="10" t="str">
        <f t="shared" si="7"/>
        <v>LOW PRICE</v>
      </c>
    </row>
    <row r="114" spans="1:10" hidden="1" x14ac:dyDescent="0.35">
      <c r="A114" t="s">
        <v>320</v>
      </c>
      <c r="B114" s="11">
        <v>169</v>
      </c>
      <c r="C114" s="11">
        <v>320</v>
      </c>
      <c r="D114" s="11">
        <f t="shared" si="4"/>
        <v>151</v>
      </c>
      <c r="E114" s="12">
        <v>0.47</v>
      </c>
      <c r="F114" s="12" t="str">
        <f t="shared" si="5"/>
        <v>HIGH DISCOUNT</v>
      </c>
      <c r="G114" s="10"/>
      <c r="H114" s="13"/>
      <c r="I114" s="10" t="str">
        <f t="shared" si="6"/>
        <v>NOT PROVIDED</v>
      </c>
      <c r="J114" s="10" t="str">
        <f t="shared" si="7"/>
        <v>LOW PRICE</v>
      </c>
    </row>
    <row r="115" spans="1:10" hidden="1" x14ac:dyDescent="0.35">
      <c r="B115" s="11"/>
      <c r="C115" s="11"/>
      <c r="D115" s="11"/>
      <c r="E115" s="12"/>
      <c r="F115" s="12"/>
      <c r="G115" s="10"/>
      <c r="H115" s="13"/>
      <c r="I115" s="10"/>
      <c r="J115" s="10"/>
    </row>
  </sheetData>
  <autoFilter ref="A1:U115" xr:uid="{6254FC0C-038E-433E-BB7F-AAE534198E6A}">
    <filterColumn colId="6">
      <top10 val="10" filterVal="20"/>
    </filterColumn>
  </autoFilter>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72F90-B92B-4877-95F5-7216DFC85A9A}">
  <sheetPr filterMode="1"/>
  <dimension ref="A1:J115"/>
  <sheetViews>
    <sheetView topLeftCell="A37" workbookViewId="0">
      <selection activeCell="C124" sqref="C124"/>
    </sheetView>
  </sheetViews>
  <sheetFormatPr defaultRowHeight="14.5" x14ac:dyDescent="0.35"/>
  <cols>
    <col min="1" max="1" width="74.36328125" customWidth="1"/>
    <col min="2" max="2" width="18.453125" style="3" bestFit="1" customWidth="1"/>
    <col min="3" max="3" width="11.1796875" style="3" bestFit="1" customWidth="1"/>
    <col min="4" max="4" width="16.26953125" style="3" bestFit="1" customWidth="1"/>
    <col min="5" max="5" width="10.36328125" style="1" bestFit="1" customWidth="1"/>
    <col min="6" max="6" width="20.26953125" style="1" bestFit="1" customWidth="1"/>
    <col min="8" max="8" width="9.1796875" style="4" bestFit="1" customWidth="1"/>
    <col min="9" max="9" width="18" bestFit="1" customWidth="1"/>
    <col min="10" max="10" width="16.36328125" bestFit="1" customWidth="1"/>
  </cols>
  <sheetData>
    <row r="1" spans="1:10" s="5" customFormat="1" ht="18.5" x14ac:dyDescent="0.45">
      <c r="A1" s="5" t="s">
        <v>0</v>
      </c>
      <c r="B1" s="7" t="s">
        <v>1</v>
      </c>
      <c r="C1" s="7" t="s">
        <v>326</v>
      </c>
      <c r="D1" s="7" t="s">
        <v>331</v>
      </c>
      <c r="E1" s="8" t="s">
        <v>3</v>
      </c>
      <c r="F1" s="8" t="s">
        <v>323</v>
      </c>
      <c r="G1" s="6" t="s">
        <v>4</v>
      </c>
      <c r="H1" s="9" t="s">
        <v>5</v>
      </c>
      <c r="I1" s="6" t="s">
        <v>324</v>
      </c>
      <c r="J1" s="6" t="s">
        <v>325</v>
      </c>
    </row>
    <row r="2" spans="1:10" hidden="1" x14ac:dyDescent="0.35">
      <c r="A2" t="s">
        <v>6</v>
      </c>
      <c r="B2" s="11">
        <v>950</v>
      </c>
      <c r="C2" s="11">
        <v>1525</v>
      </c>
      <c r="D2" s="11">
        <f>C2-B2</f>
        <v>575</v>
      </c>
      <c r="E2" s="12">
        <v>0.38</v>
      </c>
      <c r="F2" s="12" t="str">
        <f>IF(E2&lt;20%,"LOW DISCOUNT",IF(E2&lt;40%,"MEDIUM DISCOUNT","HIGH DISCOUNT"))</f>
        <v>MEDIUM DISCOUNT</v>
      </c>
      <c r="G2" s="10">
        <v>2</v>
      </c>
      <c r="H2" s="13">
        <v>4.5</v>
      </c>
      <c r="I2" s="10" t="str">
        <f>IF(ISBLANK(H2),"NOT PROVIDED",IF(H2&lt;3,"POOR",IF(H2&lt;4.5,"AVERAGE","EXCELLENT")))</f>
        <v>EXCELLENT</v>
      </c>
      <c r="J2" s="10" t="str">
        <f>IF(B2&lt;1000,"LOW PRICE",IF(B2&lt;2000,"MEDIUM PRICE","HIGH PRICE"))</f>
        <v>LOW PRICE</v>
      </c>
    </row>
    <row r="3" spans="1:10" hidden="1" x14ac:dyDescent="0.35">
      <c r="A3" t="s">
        <v>10</v>
      </c>
      <c r="B3" s="11">
        <v>527</v>
      </c>
      <c r="C3" s="11">
        <v>999</v>
      </c>
      <c r="D3" s="11">
        <f t="shared" ref="D3:D67" si="0">C3-B3</f>
        <v>472</v>
      </c>
      <c r="E3" s="12">
        <v>0.47</v>
      </c>
      <c r="F3" s="12" t="str">
        <f t="shared" ref="F3:F67" si="1">IF(E3&lt;20%,"LOW DISCOUNT",IF(E3&lt;40%,"MEDIUM DISCOUNT","HIGH DISCOUNT"))</f>
        <v>HIGH DISCOUNT</v>
      </c>
      <c r="G3" s="10">
        <v>14</v>
      </c>
      <c r="H3" s="13">
        <v>4.0999999999999996</v>
      </c>
      <c r="I3" s="10" t="str">
        <f t="shared" ref="I3:I67" si="2">IF(ISBLANK(H3),"NOT PROVIDED",IF(H3&lt;3,"POOR",IF(H3&lt;4.5,"AVERAGE","EXCELLENT")))</f>
        <v>AVERAGE</v>
      </c>
      <c r="J3" s="10" t="str">
        <f t="shared" ref="J3:J67" si="3">IF(B3&lt;1000,"LOW PRICE",IF(B3&lt;2000,"MEDIUM PRICE","HIGH PRICE"))</f>
        <v>LOW PRICE</v>
      </c>
    </row>
    <row r="4" spans="1:10" hidden="1" x14ac:dyDescent="0.35">
      <c r="A4" t="s">
        <v>14</v>
      </c>
      <c r="B4" s="11">
        <v>2199</v>
      </c>
      <c r="C4" s="11">
        <v>2923</v>
      </c>
      <c r="D4" s="11">
        <f t="shared" si="0"/>
        <v>724</v>
      </c>
      <c r="E4" s="12">
        <v>0.25</v>
      </c>
      <c r="F4" s="12" t="str">
        <f t="shared" si="1"/>
        <v>MEDIUM DISCOUNT</v>
      </c>
      <c r="G4" s="10">
        <v>24</v>
      </c>
      <c r="H4" s="13">
        <v>4.5999999999999996</v>
      </c>
      <c r="I4" s="10" t="str">
        <f t="shared" si="2"/>
        <v>EXCELLENT</v>
      </c>
      <c r="J4" s="10" t="str">
        <f t="shared" si="3"/>
        <v>HIGH PRICE</v>
      </c>
    </row>
    <row r="5" spans="1:10" hidden="1" x14ac:dyDescent="0.35">
      <c r="A5" t="s">
        <v>18</v>
      </c>
      <c r="B5" s="11">
        <v>1580</v>
      </c>
      <c r="C5" s="11">
        <v>2499</v>
      </c>
      <c r="D5" s="11">
        <f t="shared" si="0"/>
        <v>919</v>
      </c>
      <c r="E5" s="12">
        <v>0.37</v>
      </c>
      <c r="F5" s="12" t="str">
        <f t="shared" si="1"/>
        <v>MEDIUM DISCOUNT</v>
      </c>
      <c r="G5" s="10">
        <v>7</v>
      </c>
      <c r="H5" s="13">
        <v>4.7</v>
      </c>
      <c r="I5" s="10" t="str">
        <f t="shared" si="2"/>
        <v>EXCELLENT</v>
      </c>
      <c r="J5" s="10" t="str">
        <f t="shared" si="3"/>
        <v>MEDIUM PRICE</v>
      </c>
    </row>
    <row r="6" spans="1:10" x14ac:dyDescent="0.35">
      <c r="A6" t="s">
        <v>22</v>
      </c>
      <c r="B6" s="11">
        <v>1740</v>
      </c>
      <c r="C6" s="11">
        <v>2356</v>
      </c>
      <c r="D6" s="11">
        <f t="shared" si="0"/>
        <v>616</v>
      </c>
      <c r="E6" s="12">
        <v>0.26</v>
      </c>
      <c r="F6" s="12" t="str">
        <f t="shared" si="1"/>
        <v>MEDIUM DISCOUNT</v>
      </c>
      <c r="G6" s="10">
        <v>5</v>
      </c>
      <c r="H6" s="13">
        <v>4.8</v>
      </c>
      <c r="I6" s="10" t="str">
        <f t="shared" si="2"/>
        <v>EXCELLENT</v>
      </c>
      <c r="J6" s="10" t="str">
        <f t="shared" si="3"/>
        <v>MEDIUM PRICE</v>
      </c>
    </row>
    <row r="7" spans="1:10" hidden="1" x14ac:dyDescent="0.35">
      <c r="A7" t="s">
        <v>26</v>
      </c>
      <c r="B7" s="11">
        <v>2999</v>
      </c>
      <c r="C7" s="11">
        <v>3290</v>
      </c>
      <c r="D7" s="11">
        <f t="shared" si="0"/>
        <v>291</v>
      </c>
      <c r="E7" s="12">
        <v>0.09</v>
      </c>
      <c r="F7" s="12" t="str">
        <f t="shared" si="1"/>
        <v>LOW DISCOUNT</v>
      </c>
      <c r="G7" s="10">
        <v>15</v>
      </c>
      <c r="H7" s="13">
        <v>4</v>
      </c>
      <c r="I7" s="10" t="str">
        <f t="shared" si="2"/>
        <v>AVERAGE</v>
      </c>
      <c r="J7" s="10" t="str">
        <f t="shared" si="3"/>
        <v>HIGH PRICE</v>
      </c>
    </row>
    <row r="8" spans="1:10" hidden="1" x14ac:dyDescent="0.35">
      <c r="A8" t="s">
        <v>30</v>
      </c>
      <c r="B8" s="11">
        <v>2319</v>
      </c>
      <c r="C8" s="11">
        <v>3032</v>
      </c>
      <c r="D8" s="11">
        <f t="shared" si="0"/>
        <v>713</v>
      </c>
      <c r="E8" s="12">
        <v>0.24</v>
      </c>
      <c r="F8" s="12" t="str">
        <f t="shared" si="1"/>
        <v>MEDIUM DISCOUNT</v>
      </c>
      <c r="G8" s="10">
        <v>55</v>
      </c>
      <c r="H8" s="13">
        <v>4.5999999999999996</v>
      </c>
      <c r="I8" s="10" t="str">
        <f t="shared" si="2"/>
        <v>EXCELLENT</v>
      </c>
      <c r="J8" s="10" t="str">
        <f t="shared" si="3"/>
        <v>HIGH PRICE</v>
      </c>
    </row>
    <row r="9" spans="1:10" hidden="1" x14ac:dyDescent="0.35">
      <c r="A9" t="s">
        <v>33</v>
      </c>
      <c r="B9" s="11">
        <v>988</v>
      </c>
      <c r="C9" s="11">
        <v>1580</v>
      </c>
      <c r="D9" s="11">
        <f t="shared" si="0"/>
        <v>592</v>
      </c>
      <c r="E9" s="12">
        <v>0.37</v>
      </c>
      <c r="F9" s="12" t="str">
        <f t="shared" si="1"/>
        <v>MEDIUM DISCOUNT</v>
      </c>
      <c r="G9" s="10">
        <v>2</v>
      </c>
      <c r="H9" s="13">
        <v>4</v>
      </c>
      <c r="I9" s="10" t="str">
        <f t="shared" si="2"/>
        <v>AVERAGE</v>
      </c>
      <c r="J9" s="10" t="str">
        <f t="shared" si="3"/>
        <v>LOW PRICE</v>
      </c>
    </row>
    <row r="10" spans="1:10" x14ac:dyDescent="0.35">
      <c r="A10" t="s">
        <v>35</v>
      </c>
      <c r="B10" s="11">
        <v>1274</v>
      </c>
      <c r="C10" s="11">
        <v>2800</v>
      </c>
      <c r="D10" s="11">
        <f t="shared" si="0"/>
        <v>1526</v>
      </c>
      <c r="E10" s="12">
        <v>0.55000000000000004</v>
      </c>
      <c r="F10" s="12" t="str">
        <f t="shared" si="1"/>
        <v>HIGH DISCOUNT</v>
      </c>
      <c r="G10" s="10">
        <v>5</v>
      </c>
      <c r="H10" s="13">
        <v>4.8</v>
      </c>
      <c r="I10" s="10" t="str">
        <f t="shared" si="2"/>
        <v>EXCELLENT</v>
      </c>
      <c r="J10" s="10" t="str">
        <f t="shared" si="3"/>
        <v>MEDIUM PRICE</v>
      </c>
    </row>
    <row r="11" spans="1:10" hidden="1" x14ac:dyDescent="0.35">
      <c r="A11" t="s">
        <v>38</v>
      </c>
      <c r="B11" s="11">
        <v>1600</v>
      </c>
      <c r="C11" s="11">
        <v>2929</v>
      </c>
      <c r="D11" s="11">
        <f t="shared" si="0"/>
        <v>1329</v>
      </c>
      <c r="E11" s="12">
        <v>0.45</v>
      </c>
      <c r="F11" s="12" t="str">
        <f t="shared" si="1"/>
        <v>HIGH DISCOUNT</v>
      </c>
      <c r="G11" s="10">
        <v>5</v>
      </c>
      <c r="H11" s="13">
        <v>3.8</v>
      </c>
      <c r="I11" s="10" t="str">
        <f t="shared" si="2"/>
        <v>AVERAGE</v>
      </c>
      <c r="J11" s="10" t="str">
        <f t="shared" si="3"/>
        <v>MEDIUM PRICE</v>
      </c>
    </row>
    <row r="12" spans="1:10" hidden="1" x14ac:dyDescent="0.35">
      <c r="A12" t="s">
        <v>42</v>
      </c>
      <c r="B12" s="11">
        <v>799</v>
      </c>
      <c r="C12" s="11">
        <v>999</v>
      </c>
      <c r="D12" s="11">
        <f t="shared" si="0"/>
        <v>200</v>
      </c>
      <c r="E12" s="12">
        <v>0.2</v>
      </c>
      <c r="F12" s="12" t="str">
        <f t="shared" si="1"/>
        <v>MEDIUM DISCOUNT</v>
      </c>
      <c r="G12" s="10">
        <v>12</v>
      </c>
      <c r="H12" s="13">
        <v>4.0999999999999996</v>
      </c>
      <c r="I12" s="10" t="str">
        <f t="shared" si="2"/>
        <v>AVERAGE</v>
      </c>
      <c r="J12" s="10" t="str">
        <f t="shared" si="3"/>
        <v>LOW PRICE</v>
      </c>
    </row>
    <row r="13" spans="1:10" hidden="1" x14ac:dyDescent="0.35">
      <c r="A13" t="s">
        <v>44</v>
      </c>
      <c r="B13" s="11">
        <v>990</v>
      </c>
      <c r="C13" s="11">
        <v>1500</v>
      </c>
      <c r="D13" s="11">
        <f t="shared" si="0"/>
        <v>510</v>
      </c>
      <c r="E13" s="12">
        <v>0.34</v>
      </c>
      <c r="F13" s="12" t="str">
        <f t="shared" si="1"/>
        <v>MEDIUM DISCOUNT</v>
      </c>
      <c r="G13" s="10">
        <v>39</v>
      </c>
      <c r="H13" s="13">
        <v>4.7</v>
      </c>
      <c r="I13" s="10" t="str">
        <f t="shared" si="2"/>
        <v>EXCELLENT</v>
      </c>
      <c r="J13" s="10" t="str">
        <f t="shared" si="3"/>
        <v>LOW PRICE</v>
      </c>
    </row>
    <row r="14" spans="1:10" x14ac:dyDescent="0.35">
      <c r="A14" t="s">
        <v>47</v>
      </c>
      <c r="B14" s="11">
        <v>552</v>
      </c>
      <c r="C14" s="11">
        <v>1035</v>
      </c>
      <c r="D14" s="11">
        <f t="shared" si="0"/>
        <v>483</v>
      </c>
      <c r="E14" s="12">
        <v>0.47</v>
      </c>
      <c r="F14" s="12" t="str">
        <f t="shared" si="1"/>
        <v>HIGH DISCOUNT</v>
      </c>
      <c r="G14" s="10">
        <v>12</v>
      </c>
      <c r="H14" s="13">
        <v>4.8</v>
      </c>
      <c r="I14" s="10" t="str">
        <f t="shared" si="2"/>
        <v>EXCELLENT</v>
      </c>
      <c r="J14" s="10" t="str">
        <f t="shared" si="3"/>
        <v>LOW PRICE</v>
      </c>
    </row>
    <row r="15" spans="1:10" hidden="1" x14ac:dyDescent="0.35">
      <c r="A15" t="s">
        <v>50</v>
      </c>
      <c r="B15" s="11">
        <v>501</v>
      </c>
      <c r="C15" s="11">
        <v>860</v>
      </c>
      <c r="D15" s="11">
        <f t="shared" si="0"/>
        <v>359</v>
      </c>
      <c r="E15" s="12">
        <v>0.42</v>
      </c>
      <c r="F15" s="12" t="str">
        <f t="shared" si="1"/>
        <v>HIGH DISCOUNT</v>
      </c>
      <c r="G15" s="10">
        <v>6</v>
      </c>
      <c r="H15" s="13">
        <v>4.5</v>
      </c>
      <c r="I15" s="10" t="str">
        <f t="shared" si="2"/>
        <v>EXCELLENT</v>
      </c>
      <c r="J15" s="10" t="str">
        <f t="shared" si="3"/>
        <v>LOW PRICE</v>
      </c>
    </row>
    <row r="16" spans="1:10" hidden="1" x14ac:dyDescent="0.35">
      <c r="A16" t="s">
        <v>53</v>
      </c>
      <c r="B16" s="11">
        <v>1680</v>
      </c>
      <c r="C16" s="11">
        <v>2499</v>
      </c>
      <c r="D16" s="11">
        <f t="shared" si="0"/>
        <v>819</v>
      </c>
      <c r="E16" s="12">
        <v>0.33</v>
      </c>
      <c r="F16" s="12" t="str">
        <f t="shared" si="1"/>
        <v>MEDIUM DISCOUNT</v>
      </c>
      <c r="G16" s="10">
        <v>9</v>
      </c>
      <c r="H16" s="13">
        <v>4.2</v>
      </c>
      <c r="I16" s="10" t="str">
        <f t="shared" si="2"/>
        <v>AVERAGE</v>
      </c>
      <c r="J16" s="10" t="str">
        <f t="shared" si="3"/>
        <v>MEDIUM PRICE</v>
      </c>
    </row>
    <row r="17" spans="1:10" x14ac:dyDescent="0.35">
      <c r="A17" t="s">
        <v>56</v>
      </c>
      <c r="B17" s="11">
        <v>332</v>
      </c>
      <c r="C17" s="11">
        <v>684</v>
      </c>
      <c r="D17" s="11">
        <f t="shared" si="0"/>
        <v>352</v>
      </c>
      <c r="E17" s="12">
        <v>0.51</v>
      </c>
      <c r="F17" s="12" t="str">
        <f t="shared" si="1"/>
        <v>HIGH DISCOUNT</v>
      </c>
      <c r="G17" s="10">
        <v>2</v>
      </c>
      <c r="H17" s="13">
        <v>5</v>
      </c>
      <c r="I17" s="10" t="str">
        <f t="shared" si="2"/>
        <v>EXCELLENT</v>
      </c>
      <c r="J17" s="10" t="str">
        <f t="shared" si="3"/>
        <v>LOW PRICE</v>
      </c>
    </row>
    <row r="18" spans="1:10" x14ac:dyDescent="0.35">
      <c r="A18" t="s">
        <v>60</v>
      </c>
      <c r="B18" s="11">
        <v>195</v>
      </c>
      <c r="C18" s="11">
        <v>360</v>
      </c>
      <c r="D18" s="11">
        <f t="shared" si="0"/>
        <v>165</v>
      </c>
      <c r="E18" s="12">
        <v>0.46</v>
      </c>
      <c r="F18" s="12" t="str">
        <f t="shared" si="1"/>
        <v>HIGH DISCOUNT</v>
      </c>
      <c r="G18" s="10">
        <v>2</v>
      </c>
      <c r="H18" s="13">
        <v>5</v>
      </c>
      <c r="I18" s="10" t="str">
        <f t="shared" si="2"/>
        <v>EXCELLENT</v>
      </c>
      <c r="J18" s="10" t="str">
        <f t="shared" si="3"/>
        <v>LOW PRICE</v>
      </c>
    </row>
    <row r="19" spans="1:10" x14ac:dyDescent="0.35">
      <c r="A19" t="s">
        <v>63</v>
      </c>
      <c r="B19" s="11">
        <v>2025</v>
      </c>
      <c r="C19" s="11">
        <v>3971</v>
      </c>
      <c r="D19" s="11">
        <f t="shared" si="0"/>
        <v>1946</v>
      </c>
      <c r="E19" s="12">
        <v>0.49</v>
      </c>
      <c r="F19" s="12" t="str">
        <f t="shared" si="1"/>
        <v>HIGH DISCOUNT</v>
      </c>
      <c r="G19" s="10">
        <v>3</v>
      </c>
      <c r="H19" s="13">
        <v>5</v>
      </c>
      <c r="I19" s="10" t="str">
        <f t="shared" si="2"/>
        <v>EXCELLENT</v>
      </c>
      <c r="J19" s="10" t="str">
        <f t="shared" si="3"/>
        <v>HIGH PRICE</v>
      </c>
    </row>
    <row r="20" spans="1:10" hidden="1" x14ac:dyDescent="0.35">
      <c r="A20" t="s">
        <v>66</v>
      </c>
      <c r="B20" s="11">
        <v>2999</v>
      </c>
      <c r="C20" s="11">
        <v>3699</v>
      </c>
      <c r="D20" s="11">
        <f t="shared" si="0"/>
        <v>700</v>
      </c>
      <c r="E20" s="12">
        <v>0.19</v>
      </c>
      <c r="F20" s="12" t="str">
        <f t="shared" si="1"/>
        <v>LOW DISCOUNT</v>
      </c>
      <c r="G20" s="10">
        <v>5</v>
      </c>
      <c r="H20" s="13">
        <v>4.5999999999999996</v>
      </c>
      <c r="I20" s="10" t="str">
        <f t="shared" si="2"/>
        <v>EXCELLENT</v>
      </c>
      <c r="J20" s="10" t="str">
        <f t="shared" si="3"/>
        <v>HIGH PRICE</v>
      </c>
    </row>
    <row r="21" spans="1:10" hidden="1" x14ac:dyDescent="0.35">
      <c r="A21" t="s">
        <v>68</v>
      </c>
      <c r="B21" s="11">
        <v>998</v>
      </c>
      <c r="C21" s="11">
        <v>1966</v>
      </c>
      <c r="D21" s="11">
        <f t="shared" si="0"/>
        <v>968</v>
      </c>
      <c r="E21" s="12">
        <v>0.49</v>
      </c>
      <c r="F21" s="12" t="str">
        <f t="shared" si="1"/>
        <v>HIGH DISCOUNT</v>
      </c>
      <c r="G21" s="10">
        <v>44</v>
      </c>
      <c r="H21" s="13">
        <v>4.5999999999999996</v>
      </c>
      <c r="I21" s="10" t="str">
        <f t="shared" si="2"/>
        <v>EXCELLENT</v>
      </c>
      <c r="J21" s="10" t="str">
        <f t="shared" si="3"/>
        <v>LOW PRICE</v>
      </c>
    </row>
    <row r="22" spans="1:10" hidden="1" x14ac:dyDescent="0.35">
      <c r="A22" t="s">
        <v>71</v>
      </c>
      <c r="B22" s="11">
        <v>38</v>
      </c>
      <c r="C22" s="11">
        <v>80</v>
      </c>
      <c r="D22" s="11">
        <f t="shared" si="0"/>
        <v>42</v>
      </c>
      <c r="E22" s="12">
        <v>0.53</v>
      </c>
      <c r="F22" s="12" t="str">
        <f t="shared" si="1"/>
        <v>HIGH DISCOUNT</v>
      </c>
      <c r="G22" s="10">
        <v>13</v>
      </c>
      <c r="H22" s="13">
        <v>3.3</v>
      </c>
      <c r="I22" s="10" t="str">
        <f t="shared" si="2"/>
        <v>AVERAGE</v>
      </c>
      <c r="J22" s="10" t="str">
        <f t="shared" si="3"/>
        <v>LOW PRICE</v>
      </c>
    </row>
    <row r="23" spans="1:10" hidden="1" x14ac:dyDescent="0.35">
      <c r="A23" t="s">
        <v>75</v>
      </c>
      <c r="B23" s="11">
        <v>1860</v>
      </c>
      <c r="C23" s="11">
        <v>3220</v>
      </c>
      <c r="D23" s="11">
        <f t="shared" si="0"/>
        <v>1360</v>
      </c>
      <c r="E23" s="12">
        <v>0.42</v>
      </c>
      <c r="F23" s="12" t="str">
        <f t="shared" si="1"/>
        <v>HIGH DISCOUNT</v>
      </c>
      <c r="G23" s="10"/>
      <c r="H23" s="13"/>
      <c r="I23" s="10" t="str">
        <f t="shared" si="2"/>
        <v>NOT PROVIDED</v>
      </c>
      <c r="J23" s="10" t="str">
        <f t="shared" si="3"/>
        <v>MEDIUM PRICE</v>
      </c>
    </row>
    <row r="24" spans="1:10" hidden="1" x14ac:dyDescent="0.35">
      <c r="A24" t="s">
        <v>78</v>
      </c>
      <c r="B24" s="11">
        <v>880</v>
      </c>
      <c r="C24" s="11">
        <v>1350</v>
      </c>
      <c r="D24" s="11">
        <f t="shared" si="0"/>
        <v>470</v>
      </c>
      <c r="E24" s="12">
        <v>0.35</v>
      </c>
      <c r="F24" s="12" t="str">
        <f t="shared" si="1"/>
        <v>MEDIUM DISCOUNT</v>
      </c>
      <c r="G24" s="10">
        <v>6</v>
      </c>
      <c r="H24" s="13">
        <v>4</v>
      </c>
      <c r="I24" s="10" t="str">
        <f t="shared" si="2"/>
        <v>AVERAGE</v>
      </c>
      <c r="J24" s="10" t="str">
        <f t="shared" si="3"/>
        <v>LOW PRICE</v>
      </c>
    </row>
    <row r="25" spans="1:10" hidden="1" x14ac:dyDescent="0.35">
      <c r="A25" t="s">
        <v>81</v>
      </c>
      <c r="B25" s="11">
        <v>1650</v>
      </c>
      <c r="C25" s="11">
        <v>2150</v>
      </c>
      <c r="D25" s="11">
        <f t="shared" si="0"/>
        <v>500</v>
      </c>
      <c r="E25" s="12">
        <v>0.23</v>
      </c>
      <c r="F25" s="12" t="str">
        <f t="shared" si="1"/>
        <v>MEDIUM DISCOUNT</v>
      </c>
      <c r="G25" s="10">
        <v>14</v>
      </c>
      <c r="H25" s="13">
        <v>4.4000000000000004</v>
      </c>
      <c r="I25" s="10" t="str">
        <f t="shared" si="2"/>
        <v>AVERAGE</v>
      </c>
      <c r="J25" s="10" t="str">
        <f t="shared" si="3"/>
        <v>MEDIUM PRICE</v>
      </c>
    </row>
    <row r="26" spans="1:10" hidden="1" x14ac:dyDescent="0.35">
      <c r="A26" t="s">
        <v>85</v>
      </c>
      <c r="B26" s="11">
        <v>2048</v>
      </c>
      <c r="C26" s="11">
        <v>4500</v>
      </c>
      <c r="D26" s="11">
        <f t="shared" si="0"/>
        <v>2452</v>
      </c>
      <c r="E26" s="12">
        <v>0.54</v>
      </c>
      <c r="F26" s="12" t="str">
        <f t="shared" si="1"/>
        <v>HIGH DISCOUNT</v>
      </c>
      <c r="G26" s="10">
        <v>7</v>
      </c>
      <c r="H26" s="13">
        <v>4.3</v>
      </c>
      <c r="I26" s="10" t="str">
        <f t="shared" si="2"/>
        <v>AVERAGE</v>
      </c>
      <c r="J26" s="10" t="str">
        <f t="shared" si="3"/>
        <v>HIGH PRICE</v>
      </c>
    </row>
    <row r="27" spans="1:10" hidden="1" x14ac:dyDescent="0.35">
      <c r="A27" t="s">
        <v>89</v>
      </c>
      <c r="B27" s="11">
        <v>420</v>
      </c>
      <c r="C27" s="11">
        <v>647</v>
      </c>
      <c r="D27" s="11">
        <f t="shared" si="0"/>
        <v>227</v>
      </c>
      <c r="E27" s="12">
        <v>0.35</v>
      </c>
      <c r="F27" s="12" t="str">
        <f t="shared" si="1"/>
        <v>MEDIUM DISCOUNT</v>
      </c>
      <c r="G27" s="10">
        <v>49</v>
      </c>
      <c r="H27" s="13">
        <v>4.5999999999999996</v>
      </c>
      <c r="I27" s="10" t="str">
        <f t="shared" si="2"/>
        <v>EXCELLENT</v>
      </c>
      <c r="J27" s="10" t="str">
        <f t="shared" si="3"/>
        <v>LOW PRICE</v>
      </c>
    </row>
    <row r="28" spans="1:10" hidden="1" x14ac:dyDescent="0.35">
      <c r="A28" t="s">
        <v>92</v>
      </c>
      <c r="B28" s="11">
        <v>2880</v>
      </c>
      <c r="C28" s="11">
        <v>3520</v>
      </c>
      <c r="D28" s="11">
        <f t="shared" si="0"/>
        <v>640</v>
      </c>
      <c r="E28" s="12">
        <v>0.18</v>
      </c>
      <c r="F28" s="12" t="str">
        <f t="shared" si="1"/>
        <v>LOW DISCOUNT</v>
      </c>
      <c r="G28" s="10">
        <v>12</v>
      </c>
      <c r="H28" s="13">
        <v>3.8</v>
      </c>
      <c r="I28" s="10" t="str">
        <f t="shared" si="2"/>
        <v>AVERAGE</v>
      </c>
      <c r="J28" s="10" t="str">
        <f t="shared" si="3"/>
        <v>HIGH PRICE</v>
      </c>
    </row>
    <row r="29" spans="1:10" hidden="1" x14ac:dyDescent="0.35">
      <c r="A29" t="s">
        <v>95</v>
      </c>
      <c r="B29" s="11">
        <v>1350</v>
      </c>
      <c r="C29" s="11">
        <v>1990</v>
      </c>
      <c r="D29" s="11">
        <f t="shared" si="0"/>
        <v>640</v>
      </c>
      <c r="E29" s="12">
        <v>0.32</v>
      </c>
      <c r="F29" s="12" t="str">
        <f t="shared" si="1"/>
        <v>MEDIUM DISCOUNT</v>
      </c>
      <c r="G29" s="10">
        <v>13</v>
      </c>
      <c r="H29" s="13">
        <v>3.8</v>
      </c>
      <c r="I29" s="10" t="str">
        <f t="shared" si="2"/>
        <v>AVERAGE</v>
      </c>
      <c r="J29" s="10" t="str">
        <f t="shared" si="3"/>
        <v>MEDIUM PRICE</v>
      </c>
    </row>
    <row r="30" spans="1:10" hidden="1" x14ac:dyDescent="0.35">
      <c r="A30" t="s">
        <v>97</v>
      </c>
      <c r="B30" s="11">
        <v>1758</v>
      </c>
      <c r="C30" s="11">
        <v>2499</v>
      </c>
      <c r="D30" s="11">
        <f t="shared" si="0"/>
        <v>741</v>
      </c>
      <c r="E30" s="12">
        <v>0.3</v>
      </c>
      <c r="F30" s="12" t="str">
        <f t="shared" si="1"/>
        <v>MEDIUM DISCOUNT</v>
      </c>
      <c r="G30" s="10">
        <v>20</v>
      </c>
      <c r="H30" s="13">
        <v>4.0999999999999996</v>
      </c>
      <c r="I30" s="10" t="str">
        <f t="shared" si="2"/>
        <v>AVERAGE</v>
      </c>
      <c r="J30" s="10" t="str">
        <f t="shared" si="3"/>
        <v>MEDIUM PRICE</v>
      </c>
    </row>
    <row r="31" spans="1:10" hidden="1" x14ac:dyDescent="0.35">
      <c r="A31" t="s">
        <v>99</v>
      </c>
      <c r="B31" s="11">
        <v>2200</v>
      </c>
      <c r="C31" s="11">
        <v>4080</v>
      </c>
      <c r="D31" s="11">
        <f t="shared" si="0"/>
        <v>1880</v>
      </c>
      <c r="E31" s="12">
        <v>0.46</v>
      </c>
      <c r="F31" s="12" t="str">
        <f t="shared" si="1"/>
        <v>HIGH DISCOUNT</v>
      </c>
      <c r="G31" s="10"/>
      <c r="H31" s="13"/>
      <c r="I31" s="10" t="str">
        <f t="shared" si="2"/>
        <v>NOT PROVIDED</v>
      </c>
      <c r="J31" s="10" t="str">
        <f t="shared" si="3"/>
        <v>HIGH PRICE</v>
      </c>
    </row>
    <row r="32" spans="1:10" hidden="1" x14ac:dyDescent="0.35">
      <c r="A32" t="s">
        <v>102</v>
      </c>
      <c r="B32" s="11">
        <v>185</v>
      </c>
      <c r="C32" s="11">
        <v>382</v>
      </c>
      <c r="D32" s="11">
        <f t="shared" si="0"/>
        <v>197</v>
      </c>
      <c r="E32" s="12">
        <v>0.52</v>
      </c>
      <c r="F32" s="12" t="str">
        <f t="shared" si="1"/>
        <v>HIGH DISCOUNT</v>
      </c>
      <c r="G32" s="10">
        <v>9</v>
      </c>
      <c r="H32" s="13">
        <v>4.3</v>
      </c>
      <c r="I32" s="10" t="str">
        <f t="shared" si="2"/>
        <v>AVERAGE</v>
      </c>
      <c r="J32" s="10" t="str">
        <f t="shared" si="3"/>
        <v>LOW PRICE</v>
      </c>
    </row>
    <row r="33" spans="1:10" hidden="1" x14ac:dyDescent="0.35">
      <c r="A33" t="s">
        <v>105</v>
      </c>
      <c r="B33" s="11">
        <v>980</v>
      </c>
      <c r="C33" s="11">
        <v>1490</v>
      </c>
      <c r="D33" s="11">
        <f t="shared" si="0"/>
        <v>510</v>
      </c>
      <c r="E33" s="12">
        <v>0.34</v>
      </c>
      <c r="F33" s="12" t="str">
        <f t="shared" si="1"/>
        <v>MEDIUM DISCOUNT</v>
      </c>
      <c r="G33" s="10">
        <v>12</v>
      </c>
      <c r="H33" s="13">
        <v>4.7</v>
      </c>
      <c r="I33" s="10" t="str">
        <f t="shared" si="2"/>
        <v>EXCELLENT</v>
      </c>
      <c r="J33" s="10" t="str">
        <f t="shared" si="3"/>
        <v>LOW PRICE</v>
      </c>
    </row>
    <row r="34" spans="1:10" hidden="1" x14ac:dyDescent="0.35">
      <c r="A34" t="s">
        <v>108</v>
      </c>
      <c r="B34" s="11">
        <v>1820</v>
      </c>
      <c r="C34" s="11">
        <v>3490</v>
      </c>
      <c r="D34" s="11">
        <f t="shared" si="0"/>
        <v>1670</v>
      </c>
      <c r="E34" s="12">
        <v>0.48</v>
      </c>
      <c r="F34" s="12" t="str">
        <f t="shared" si="1"/>
        <v>HIGH DISCOUNT</v>
      </c>
      <c r="G34" s="10">
        <v>9</v>
      </c>
      <c r="H34" s="13">
        <v>4.3</v>
      </c>
      <c r="I34" s="10" t="str">
        <f t="shared" si="2"/>
        <v>AVERAGE</v>
      </c>
      <c r="J34" s="10" t="str">
        <f t="shared" si="3"/>
        <v>MEDIUM PRICE</v>
      </c>
    </row>
    <row r="35" spans="1:10" hidden="1" x14ac:dyDescent="0.35">
      <c r="A35" t="s">
        <v>111</v>
      </c>
      <c r="B35" s="11">
        <v>1940</v>
      </c>
      <c r="C35" s="11">
        <v>2650</v>
      </c>
      <c r="D35" s="11">
        <f t="shared" si="0"/>
        <v>710</v>
      </c>
      <c r="E35" s="12">
        <v>0.27</v>
      </c>
      <c r="F35" s="12" t="str">
        <f t="shared" si="1"/>
        <v>MEDIUM DISCOUNT</v>
      </c>
      <c r="G35" s="10">
        <v>20</v>
      </c>
      <c r="H35" s="13">
        <v>4.7</v>
      </c>
      <c r="I35" s="10" t="str">
        <f t="shared" si="2"/>
        <v>EXCELLENT</v>
      </c>
      <c r="J35" s="10" t="str">
        <f t="shared" si="3"/>
        <v>MEDIUM PRICE</v>
      </c>
    </row>
    <row r="36" spans="1:10" hidden="1" x14ac:dyDescent="0.35">
      <c r="A36" t="s">
        <v>114</v>
      </c>
      <c r="B36" s="11">
        <v>1980</v>
      </c>
      <c r="C36" s="11">
        <v>2699</v>
      </c>
      <c r="D36" s="11">
        <f t="shared" si="0"/>
        <v>719</v>
      </c>
      <c r="E36" s="12">
        <v>0.27</v>
      </c>
      <c r="F36" s="12" t="str">
        <f t="shared" si="1"/>
        <v>MEDIUM DISCOUNT</v>
      </c>
      <c r="G36" s="10">
        <v>32</v>
      </c>
      <c r="H36" s="13">
        <v>4.5</v>
      </c>
      <c r="I36" s="10" t="str">
        <f t="shared" si="2"/>
        <v>EXCELLENT</v>
      </c>
      <c r="J36" s="10" t="str">
        <f t="shared" si="3"/>
        <v>MEDIUM PRICE</v>
      </c>
    </row>
    <row r="37" spans="1:10" x14ac:dyDescent="0.35">
      <c r="A37" t="s">
        <v>117</v>
      </c>
      <c r="B37" s="11">
        <v>1620</v>
      </c>
      <c r="C37" s="11">
        <v>2690</v>
      </c>
      <c r="D37" s="11">
        <f t="shared" si="0"/>
        <v>1070</v>
      </c>
      <c r="E37" s="12">
        <v>0.4</v>
      </c>
      <c r="F37" s="12" t="str">
        <f t="shared" si="1"/>
        <v>HIGH DISCOUNT</v>
      </c>
      <c r="G37" s="10">
        <v>1</v>
      </c>
      <c r="H37" s="13">
        <v>5</v>
      </c>
      <c r="I37" s="10" t="str">
        <f t="shared" si="2"/>
        <v>EXCELLENT</v>
      </c>
      <c r="J37" s="10" t="str">
        <f t="shared" si="3"/>
        <v>MEDIUM PRICE</v>
      </c>
    </row>
    <row r="38" spans="1:10" x14ac:dyDescent="0.35">
      <c r="A38" t="s">
        <v>120</v>
      </c>
      <c r="B38" s="11">
        <v>171</v>
      </c>
      <c r="C38" s="11">
        <v>360</v>
      </c>
      <c r="D38" s="11">
        <f t="shared" si="0"/>
        <v>189</v>
      </c>
      <c r="E38" s="12">
        <v>0.53</v>
      </c>
      <c r="F38" s="12" t="str">
        <f t="shared" si="1"/>
        <v>HIGH DISCOUNT</v>
      </c>
      <c r="G38" s="10">
        <v>2</v>
      </c>
      <c r="H38" s="13">
        <v>5</v>
      </c>
      <c r="I38" s="10" t="str">
        <f t="shared" si="2"/>
        <v>EXCELLENT</v>
      </c>
      <c r="J38" s="10" t="str">
        <f t="shared" si="3"/>
        <v>LOW PRICE</v>
      </c>
    </row>
    <row r="39" spans="1:10" hidden="1" x14ac:dyDescent="0.35">
      <c r="A39" t="s">
        <v>122</v>
      </c>
      <c r="B39" s="11">
        <v>389</v>
      </c>
      <c r="C39" s="11">
        <v>656</v>
      </c>
      <c r="D39" s="11">
        <f t="shared" si="0"/>
        <v>267</v>
      </c>
      <c r="E39" s="12">
        <v>0.41</v>
      </c>
      <c r="F39" s="12" t="str">
        <f t="shared" si="1"/>
        <v>HIGH DISCOUNT</v>
      </c>
      <c r="G39" s="10">
        <v>36</v>
      </c>
      <c r="H39" s="13">
        <v>4.3</v>
      </c>
      <c r="I39" s="10" t="str">
        <f t="shared" si="2"/>
        <v>AVERAGE</v>
      </c>
      <c r="J39" s="10" t="str">
        <f t="shared" si="3"/>
        <v>LOW PRICE</v>
      </c>
    </row>
    <row r="40" spans="1:10" hidden="1" x14ac:dyDescent="0.35">
      <c r="A40" t="s">
        <v>334</v>
      </c>
      <c r="B40" s="11">
        <v>1620</v>
      </c>
      <c r="C40" s="11">
        <v>2200</v>
      </c>
      <c r="D40" s="11">
        <f t="shared" si="0"/>
        <v>580</v>
      </c>
      <c r="E40" s="12">
        <v>0.26</v>
      </c>
      <c r="F40" s="12" t="str">
        <f t="shared" si="1"/>
        <v>MEDIUM DISCOUNT</v>
      </c>
      <c r="G40" s="10">
        <v>2</v>
      </c>
      <c r="H40" s="13">
        <v>4.5</v>
      </c>
      <c r="I40" s="10" t="str">
        <f t="shared" si="2"/>
        <v>EXCELLENT</v>
      </c>
      <c r="J40" s="10" t="str">
        <f t="shared" si="3"/>
        <v>MEDIUM PRICE</v>
      </c>
    </row>
    <row r="41" spans="1:10" hidden="1" x14ac:dyDescent="0.35">
      <c r="A41" t="s">
        <v>333</v>
      </c>
      <c r="B41" s="11">
        <v>1980</v>
      </c>
      <c r="C41" s="11">
        <v>3200</v>
      </c>
      <c r="D41" s="11">
        <f t="shared" si="0"/>
        <v>1220</v>
      </c>
      <c r="E41" s="12">
        <v>0.38</v>
      </c>
      <c r="F41" s="12" t="str">
        <f t="shared" si="1"/>
        <v>MEDIUM DISCOUNT</v>
      </c>
      <c r="G41" s="10"/>
      <c r="H41" s="13"/>
      <c r="I41" s="10" t="str">
        <f t="shared" si="2"/>
        <v>NOT PROVIDED</v>
      </c>
      <c r="J41" s="10" t="str">
        <f t="shared" si="3"/>
        <v>MEDIUM PRICE</v>
      </c>
    </row>
    <row r="42" spans="1:10" hidden="1" x14ac:dyDescent="0.35">
      <c r="A42" t="s">
        <v>128</v>
      </c>
      <c r="B42" s="11">
        <v>2750</v>
      </c>
      <c r="C42" s="11">
        <v>4471</v>
      </c>
      <c r="D42" s="11">
        <f t="shared" si="0"/>
        <v>1721</v>
      </c>
      <c r="E42" s="12">
        <v>0.38</v>
      </c>
      <c r="F42" s="12" t="str">
        <f t="shared" si="1"/>
        <v>MEDIUM DISCOUNT</v>
      </c>
      <c r="G42" s="10"/>
      <c r="H42" s="13"/>
      <c r="I42" s="10" t="str">
        <f t="shared" si="2"/>
        <v>NOT PROVIDED</v>
      </c>
      <c r="J42" s="10" t="str">
        <f t="shared" si="3"/>
        <v>HIGH PRICE</v>
      </c>
    </row>
    <row r="43" spans="1:10" hidden="1" x14ac:dyDescent="0.35">
      <c r="A43" t="s">
        <v>131</v>
      </c>
      <c r="B43" s="11">
        <v>475</v>
      </c>
      <c r="C43" s="11">
        <v>931</v>
      </c>
      <c r="D43" s="11">
        <f t="shared" si="0"/>
        <v>456</v>
      </c>
      <c r="E43" s="12">
        <v>0.49</v>
      </c>
      <c r="F43" s="12" t="str">
        <f t="shared" si="1"/>
        <v>HIGH DISCOUNT</v>
      </c>
      <c r="G43" s="10"/>
      <c r="H43" s="13"/>
      <c r="I43" s="10" t="str">
        <f t="shared" si="2"/>
        <v>NOT PROVIDED</v>
      </c>
      <c r="J43" s="10" t="str">
        <f t="shared" si="3"/>
        <v>LOW PRICE</v>
      </c>
    </row>
    <row r="44" spans="1:10" hidden="1" x14ac:dyDescent="0.35">
      <c r="A44" t="s">
        <v>134</v>
      </c>
      <c r="B44" s="11">
        <v>238</v>
      </c>
      <c r="C44" s="11">
        <v>476</v>
      </c>
      <c r="D44" s="11">
        <f t="shared" si="0"/>
        <v>238</v>
      </c>
      <c r="E44" s="12">
        <v>0.5</v>
      </c>
      <c r="F44" s="12" t="str">
        <f t="shared" si="1"/>
        <v>HIGH DISCOUNT</v>
      </c>
      <c r="G44" s="10"/>
      <c r="H44" s="13"/>
      <c r="I44" s="10" t="str">
        <f t="shared" si="2"/>
        <v>NOT PROVIDED</v>
      </c>
      <c r="J44" s="10" t="str">
        <f t="shared" si="3"/>
        <v>LOW PRICE</v>
      </c>
    </row>
    <row r="45" spans="1:10" hidden="1" x14ac:dyDescent="0.35">
      <c r="A45" t="s">
        <v>137</v>
      </c>
      <c r="B45" s="11">
        <v>610</v>
      </c>
      <c r="C45" s="11">
        <v>1060</v>
      </c>
      <c r="D45" s="11">
        <f t="shared" si="0"/>
        <v>450</v>
      </c>
      <c r="E45" s="12">
        <v>0.42</v>
      </c>
      <c r="F45" s="12" t="str">
        <f t="shared" si="1"/>
        <v>HIGH DISCOUNT</v>
      </c>
      <c r="G45" s="10"/>
      <c r="H45" s="13"/>
      <c r="I45" s="10" t="str">
        <f t="shared" si="2"/>
        <v>NOT PROVIDED</v>
      </c>
      <c r="J45" s="10" t="str">
        <f t="shared" si="3"/>
        <v>LOW PRICE</v>
      </c>
    </row>
    <row r="46" spans="1:10" hidden="1" x14ac:dyDescent="0.35">
      <c r="A46" t="s">
        <v>140</v>
      </c>
      <c r="B46" s="11">
        <v>2132</v>
      </c>
      <c r="C46" s="11">
        <v>2169</v>
      </c>
      <c r="D46" s="11">
        <f t="shared" si="0"/>
        <v>37</v>
      </c>
      <c r="E46" s="12">
        <v>0.02</v>
      </c>
      <c r="F46" s="12" t="str">
        <f t="shared" si="1"/>
        <v>LOW DISCOUNT</v>
      </c>
      <c r="G46" s="10"/>
      <c r="H46" s="13"/>
      <c r="I46" s="10" t="str">
        <f t="shared" si="2"/>
        <v>NOT PROVIDED</v>
      </c>
      <c r="J46" s="10" t="str">
        <f t="shared" si="3"/>
        <v>HIGH PRICE</v>
      </c>
    </row>
    <row r="47" spans="1:10" hidden="1" x14ac:dyDescent="0.35">
      <c r="A47" t="s">
        <v>143</v>
      </c>
      <c r="B47" s="11">
        <v>999</v>
      </c>
      <c r="C47" s="11">
        <v>2000</v>
      </c>
      <c r="D47" s="11">
        <f t="shared" si="0"/>
        <v>1001</v>
      </c>
      <c r="E47" s="12">
        <v>0.5</v>
      </c>
      <c r="F47" s="12" t="str">
        <f t="shared" si="1"/>
        <v>HIGH DISCOUNT</v>
      </c>
      <c r="G47" s="10"/>
      <c r="H47" s="13"/>
      <c r="I47" s="10" t="str">
        <f t="shared" si="2"/>
        <v>NOT PROVIDED</v>
      </c>
      <c r="J47" s="10" t="str">
        <f t="shared" si="3"/>
        <v>LOW PRICE</v>
      </c>
    </row>
    <row r="48" spans="1:10" hidden="1" x14ac:dyDescent="0.35">
      <c r="A48" t="s">
        <v>145</v>
      </c>
      <c r="B48" s="11">
        <v>1190</v>
      </c>
      <c r="C48" s="11">
        <v>1785</v>
      </c>
      <c r="D48" s="11">
        <f t="shared" si="0"/>
        <v>595</v>
      </c>
      <c r="E48" s="12">
        <v>0.33</v>
      </c>
      <c r="F48" s="12" t="str">
        <f t="shared" si="1"/>
        <v>MEDIUM DISCOUNT</v>
      </c>
      <c r="G48" s="10"/>
      <c r="H48" s="13"/>
      <c r="I48" s="10" t="str">
        <f t="shared" si="2"/>
        <v>NOT PROVIDED</v>
      </c>
      <c r="J48" s="10" t="str">
        <f t="shared" si="3"/>
        <v>MEDIUM PRICE</v>
      </c>
    </row>
    <row r="49" spans="1:10" hidden="1" x14ac:dyDescent="0.35">
      <c r="A49" t="s">
        <v>148</v>
      </c>
      <c r="B49" s="11">
        <v>671</v>
      </c>
      <c r="C49" s="11">
        <v>1316</v>
      </c>
      <c r="D49" s="11">
        <f t="shared" si="0"/>
        <v>645</v>
      </c>
      <c r="E49" s="12">
        <v>0.49</v>
      </c>
      <c r="F49" s="12" t="str">
        <f t="shared" si="1"/>
        <v>HIGH DISCOUNT</v>
      </c>
      <c r="G49" s="10"/>
      <c r="H49" s="13"/>
      <c r="I49" s="10" t="str">
        <f t="shared" si="2"/>
        <v>NOT PROVIDED</v>
      </c>
      <c r="J49" s="10" t="str">
        <f t="shared" si="3"/>
        <v>LOW PRICE</v>
      </c>
    </row>
    <row r="50" spans="1:10" hidden="1" x14ac:dyDescent="0.35">
      <c r="A50" t="s">
        <v>151</v>
      </c>
      <c r="B50" s="11">
        <v>1200</v>
      </c>
      <c r="C50" s="11">
        <v>1950</v>
      </c>
      <c r="D50" s="11">
        <f t="shared" si="0"/>
        <v>750</v>
      </c>
      <c r="E50" s="12">
        <v>0.38</v>
      </c>
      <c r="F50" s="12" t="str">
        <f t="shared" si="1"/>
        <v>MEDIUM DISCOUNT</v>
      </c>
      <c r="G50" s="10"/>
      <c r="H50" s="13"/>
      <c r="I50" s="10" t="str">
        <f t="shared" si="2"/>
        <v>NOT PROVIDED</v>
      </c>
      <c r="J50" s="10" t="str">
        <f t="shared" si="3"/>
        <v>MEDIUM PRICE</v>
      </c>
    </row>
    <row r="51" spans="1:10" hidden="1" x14ac:dyDescent="0.35">
      <c r="A51" t="s">
        <v>154</v>
      </c>
      <c r="B51" s="11">
        <v>199</v>
      </c>
      <c r="C51" s="11">
        <v>504</v>
      </c>
      <c r="D51" s="11">
        <f t="shared" si="0"/>
        <v>305</v>
      </c>
      <c r="E51" s="12">
        <v>0.61</v>
      </c>
      <c r="F51" s="12" t="str">
        <f t="shared" si="1"/>
        <v>HIGH DISCOUNT</v>
      </c>
      <c r="G51" s="10"/>
      <c r="H51" s="13"/>
      <c r="I51" s="10" t="str">
        <f t="shared" si="2"/>
        <v>NOT PROVIDED</v>
      </c>
      <c r="J51" s="10" t="str">
        <f t="shared" si="3"/>
        <v>LOW PRICE</v>
      </c>
    </row>
    <row r="52" spans="1:10" hidden="1" x14ac:dyDescent="0.35">
      <c r="A52" t="s">
        <v>157</v>
      </c>
      <c r="B52" s="11">
        <v>299</v>
      </c>
      <c r="C52" s="11">
        <v>600</v>
      </c>
      <c r="D52" s="11">
        <f t="shared" si="0"/>
        <v>301</v>
      </c>
      <c r="E52" s="12">
        <v>0.5</v>
      </c>
      <c r="F52" s="12" t="str">
        <f t="shared" si="1"/>
        <v>HIGH DISCOUNT</v>
      </c>
      <c r="G52" s="10"/>
      <c r="H52" s="13"/>
      <c r="I52" s="10" t="str">
        <f t="shared" si="2"/>
        <v>NOT PROVIDED</v>
      </c>
      <c r="J52" s="10" t="str">
        <f t="shared" si="3"/>
        <v>LOW PRICE</v>
      </c>
    </row>
    <row r="53" spans="1:10" hidden="1" x14ac:dyDescent="0.35">
      <c r="A53" t="s">
        <v>160</v>
      </c>
      <c r="B53" s="11">
        <v>1660</v>
      </c>
      <c r="C53" s="11">
        <v>1699</v>
      </c>
      <c r="D53" s="11">
        <f t="shared" si="0"/>
        <v>39</v>
      </c>
      <c r="E53" s="12">
        <v>0.02</v>
      </c>
      <c r="F53" s="12" t="str">
        <f t="shared" si="1"/>
        <v>LOW DISCOUNT</v>
      </c>
      <c r="G53" s="10"/>
      <c r="H53" s="13"/>
      <c r="I53" s="10" t="str">
        <f t="shared" si="2"/>
        <v>NOT PROVIDED</v>
      </c>
      <c r="J53" s="10" t="str">
        <f t="shared" si="3"/>
        <v>MEDIUM PRICE</v>
      </c>
    </row>
    <row r="54" spans="1:10" hidden="1" x14ac:dyDescent="0.35">
      <c r="A54" t="s">
        <v>163</v>
      </c>
      <c r="B54" s="11">
        <v>299</v>
      </c>
      <c r="C54" s="11">
        <v>384</v>
      </c>
      <c r="D54" s="11">
        <f t="shared" si="0"/>
        <v>85</v>
      </c>
      <c r="E54" s="12">
        <v>0.22</v>
      </c>
      <c r="F54" s="12" t="str">
        <f t="shared" si="1"/>
        <v>MEDIUM DISCOUNT</v>
      </c>
      <c r="G54" s="10"/>
      <c r="H54" s="13"/>
      <c r="I54" s="10" t="str">
        <f t="shared" si="2"/>
        <v>NOT PROVIDED</v>
      </c>
      <c r="J54" s="10" t="str">
        <f t="shared" si="3"/>
        <v>LOW PRICE</v>
      </c>
    </row>
    <row r="55" spans="1:10" hidden="1" x14ac:dyDescent="0.35">
      <c r="A55" t="s">
        <v>165</v>
      </c>
      <c r="B55" s="11">
        <v>1459</v>
      </c>
      <c r="C55" s="11">
        <v>1499</v>
      </c>
      <c r="D55" s="11">
        <f t="shared" si="0"/>
        <v>40</v>
      </c>
      <c r="E55" s="12">
        <v>0.03</v>
      </c>
      <c r="F55" s="12" t="str">
        <f t="shared" si="1"/>
        <v>LOW DISCOUNT</v>
      </c>
      <c r="G55" s="10"/>
      <c r="H55" s="13"/>
      <c r="I55" s="10" t="str">
        <f t="shared" si="2"/>
        <v>NOT PROVIDED</v>
      </c>
      <c r="J55" s="10" t="str">
        <f t="shared" si="3"/>
        <v>MEDIUM PRICE</v>
      </c>
    </row>
    <row r="56" spans="1:10" hidden="1" x14ac:dyDescent="0.35">
      <c r="A56" t="s">
        <v>168</v>
      </c>
      <c r="B56" s="11">
        <v>799</v>
      </c>
      <c r="C56" s="11">
        <v>1343</v>
      </c>
      <c r="D56" s="11">
        <f t="shared" si="0"/>
        <v>544</v>
      </c>
      <c r="E56" s="12">
        <v>0.41</v>
      </c>
      <c r="F56" s="12" t="str">
        <f t="shared" si="1"/>
        <v>HIGH DISCOUNT</v>
      </c>
      <c r="G56" s="10"/>
      <c r="H56" s="13"/>
      <c r="I56" s="10" t="str">
        <f t="shared" si="2"/>
        <v>NOT PROVIDED</v>
      </c>
      <c r="J56" s="10" t="str">
        <f t="shared" si="3"/>
        <v>LOW PRICE</v>
      </c>
    </row>
    <row r="57" spans="1:10" hidden="1" x14ac:dyDescent="0.35">
      <c r="A57" t="s">
        <v>170</v>
      </c>
      <c r="B57" s="11">
        <v>499</v>
      </c>
      <c r="C57" s="11">
        <v>900</v>
      </c>
      <c r="D57" s="11">
        <f t="shared" si="0"/>
        <v>401</v>
      </c>
      <c r="E57" s="12">
        <v>0.45</v>
      </c>
      <c r="F57" s="12" t="str">
        <f t="shared" si="1"/>
        <v>HIGH DISCOUNT</v>
      </c>
      <c r="G57" s="10"/>
      <c r="H57" s="13"/>
      <c r="I57" s="10" t="str">
        <f t="shared" si="2"/>
        <v>NOT PROVIDED</v>
      </c>
      <c r="J57" s="10" t="str">
        <f t="shared" si="3"/>
        <v>LOW PRICE</v>
      </c>
    </row>
    <row r="58" spans="1:10" hidden="1" x14ac:dyDescent="0.35">
      <c r="A58" t="s">
        <v>173</v>
      </c>
      <c r="B58" s="11">
        <v>699</v>
      </c>
      <c r="C58" s="11">
        <v>1343</v>
      </c>
      <c r="D58" s="11">
        <f t="shared" si="0"/>
        <v>644</v>
      </c>
      <c r="E58" s="12">
        <v>0.48</v>
      </c>
      <c r="F58" s="12" t="str">
        <f t="shared" si="1"/>
        <v>HIGH DISCOUNT</v>
      </c>
      <c r="G58" s="10"/>
      <c r="H58" s="13"/>
      <c r="I58" s="10" t="str">
        <f t="shared" si="2"/>
        <v>NOT PROVIDED</v>
      </c>
      <c r="J58" s="10" t="str">
        <f t="shared" si="3"/>
        <v>LOW PRICE</v>
      </c>
    </row>
    <row r="59" spans="1:10" hidden="1" x14ac:dyDescent="0.35">
      <c r="A59" t="s">
        <v>175</v>
      </c>
      <c r="B59" s="11">
        <v>799</v>
      </c>
      <c r="C59" s="11">
        <v>1567</v>
      </c>
      <c r="D59" s="11">
        <f t="shared" si="0"/>
        <v>768</v>
      </c>
      <c r="E59" s="12">
        <v>0.49</v>
      </c>
      <c r="F59" s="12" t="str">
        <f t="shared" si="1"/>
        <v>HIGH DISCOUNT</v>
      </c>
      <c r="G59" s="10"/>
      <c r="H59" s="13"/>
      <c r="I59" s="10" t="str">
        <f t="shared" si="2"/>
        <v>NOT PROVIDED</v>
      </c>
      <c r="J59" s="10" t="str">
        <f t="shared" si="3"/>
        <v>LOW PRICE</v>
      </c>
    </row>
    <row r="60" spans="1:10" hidden="1" x14ac:dyDescent="0.35">
      <c r="A60" t="s">
        <v>177</v>
      </c>
      <c r="B60" s="11">
        <v>2799</v>
      </c>
      <c r="C60" s="11">
        <v>3810</v>
      </c>
      <c r="D60" s="11">
        <f t="shared" si="0"/>
        <v>1011</v>
      </c>
      <c r="E60" s="12">
        <v>0.27</v>
      </c>
      <c r="F60" s="12" t="str">
        <f t="shared" si="1"/>
        <v>MEDIUM DISCOUNT</v>
      </c>
      <c r="G60" s="10"/>
      <c r="H60" s="13"/>
      <c r="I60" s="10" t="str">
        <f t="shared" si="2"/>
        <v>NOT PROVIDED</v>
      </c>
      <c r="J60" s="10" t="str">
        <f t="shared" si="3"/>
        <v>HIGH PRICE</v>
      </c>
    </row>
    <row r="61" spans="1:10" hidden="1" x14ac:dyDescent="0.35">
      <c r="A61" t="s">
        <v>170</v>
      </c>
      <c r="B61" s="11">
        <v>399</v>
      </c>
      <c r="C61" s="11">
        <v>896</v>
      </c>
      <c r="D61" s="11">
        <f t="shared" si="0"/>
        <v>497</v>
      </c>
      <c r="E61" s="12">
        <v>0.55000000000000004</v>
      </c>
      <c r="F61" s="12" t="str">
        <f t="shared" si="1"/>
        <v>HIGH DISCOUNT</v>
      </c>
      <c r="G61" s="10"/>
      <c r="H61" s="13"/>
      <c r="I61" s="10" t="str">
        <f t="shared" si="2"/>
        <v>NOT PROVIDED</v>
      </c>
      <c r="J61" s="10" t="str">
        <f t="shared" si="3"/>
        <v>LOW PRICE</v>
      </c>
    </row>
    <row r="62" spans="1:10" hidden="1" x14ac:dyDescent="0.35">
      <c r="A62" t="s">
        <v>182</v>
      </c>
      <c r="B62" s="11">
        <v>2170</v>
      </c>
      <c r="C62" s="11">
        <v>2500</v>
      </c>
      <c r="D62" s="11">
        <f t="shared" si="0"/>
        <v>330</v>
      </c>
      <c r="E62" s="12">
        <v>0.13</v>
      </c>
      <c r="F62" s="12" t="str">
        <f t="shared" si="1"/>
        <v>LOW DISCOUNT</v>
      </c>
      <c r="G62" s="10">
        <v>6</v>
      </c>
      <c r="H62" s="13">
        <v>2.5</v>
      </c>
      <c r="I62" s="10" t="str">
        <f t="shared" si="2"/>
        <v>POOR</v>
      </c>
      <c r="J62" s="10" t="str">
        <f t="shared" si="3"/>
        <v>HIGH PRICE</v>
      </c>
    </row>
    <row r="63" spans="1:10" hidden="1" x14ac:dyDescent="0.35">
      <c r="A63" t="s">
        <v>186</v>
      </c>
      <c r="B63" s="11">
        <v>458</v>
      </c>
      <c r="C63" s="11">
        <v>986</v>
      </c>
      <c r="D63" s="11">
        <f t="shared" si="0"/>
        <v>528</v>
      </c>
      <c r="E63" s="12">
        <v>0.54</v>
      </c>
      <c r="F63" s="12" t="str">
        <f t="shared" si="1"/>
        <v>HIGH DISCOUNT</v>
      </c>
      <c r="G63" s="10">
        <v>10</v>
      </c>
      <c r="H63" s="13">
        <v>3</v>
      </c>
      <c r="I63" s="10" t="str">
        <f t="shared" si="2"/>
        <v>AVERAGE</v>
      </c>
      <c r="J63" s="10" t="str">
        <f t="shared" si="3"/>
        <v>LOW PRICE</v>
      </c>
    </row>
    <row r="64" spans="1:10" hidden="1" x14ac:dyDescent="0.35">
      <c r="A64" t="s">
        <v>190</v>
      </c>
      <c r="B64" s="11">
        <v>2115</v>
      </c>
      <c r="C64" s="11">
        <v>4700</v>
      </c>
      <c r="D64" s="11">
        <f t="shared" si="0"/>
        <v>2585</v>
      </c>
      <c r="E64" s="12">
        <v>0.55000000000000004</v>
      </c>
      <c r="F64" s="12" t="str">
        <f t="shared" si="1"/>
        <v>HIGH DISCOUNT</v>
      </c>
      <c r="G64" s="10">
        <v>13</v>
      </c>
      <c r="H64" s="13">
        <v>2.1</v>
      </c>
      <c r="I64" s="10" t="str">
        <f t="shared" si="2"/>
        <v>POOR</v>
      </c>
      <c r="J64" s="10" t="str">
        <f t="shared" si="3"/>
        <v>HIGH PRICE</v>
      </c>
    </row>
    <row r="65" spans="1:10" hidden="1" x14ac:dyDescent="0.35">
      <c r="A65" t="s">
        <v>194</v>
      </c>
      <c r="B65" s="11">
        <v>445</v>
      </c>
      <c r="C65" s="11">
        <v>873</v>
      </c>
      <c r="D65" s="11">
        <f t="shared" si="0"/>
        <v>428</v>
      </c>
      <c r="E65" s="12">
        <v>0.49</v>
      </c>
      <c r="F65" s="12" t="str">
        <f t="shared" si="1"/>
        <v>HIGH DISCOUNT</v>
      </c>
      <c r="G65" s="10">
        <v>69</v>
      </c>
      <c r="H65" s="13">
        <v>2.8</v>
      </c>
      <c r="I65" s="10" t="str">
        <f t="shared" si="2"/>
        <v>POOR</v>
      </c>
      <c r="J65" s="10" t="str">
        <f t="shared" si="3"/>
        <v>LOW PRICE</v>
      </c>
    </row>
    <row r="66" spans="1:10" hidden="1" x14ac:dyDescent="0.35">
      <c r="A66" t="s">
        <v>198</v>
      </c>
      <c r="B66" s="11">
        <v>325</v>
      </c>
      <c r="C66" s="11">
        <v>680</v>
      </c>
      <c r="D66" s="11">
        <f t="shared" si="0"/>
        <v>355</v>
      </c>
      <c r="E66" s="12">
        <v>0.52</v>
      </c>
      <c r="F66" s="12" t="str">
        <f t="shared" si="1"/>
        <v>HIGH DISCOUNT</v>
      </c>
      <c r="G66" s="10">
        <v>15</v>
      </c>
      <c r="H66" s="13">
        <v>2.7</v>
      </c>
      <c r="I66" s="10" t="str">
        <f t="shared" si="2"/>
        <v>POOR</v>
      </c>
      <c r="J66" s="10" t="str">
        <f t="shared" si="3"/>
        <v>LOW PRICE</v>
      </c>
    </row>
    <row r="67" spans="1:10" hidden="1" x14ac:dyDescent="0.35">
      <c r="A67" t="s">
        <v>202</v>
      </c>
      <c r="B67" s="11">
        <v>1220</v>
      </c>
      <c r="C67" s="11">
        <v>1555</v>
      </c>
      <c r="D67" s="11">
        <f t="shared" si="0"/>
        <v>335</v>
      </c>
      <c r="E67" s="12">
        <v>0.22</v>
      </c>
      <c r="F67" s="12" t="str">
        <f t="shared" si="1"/>
        <v>MEDIUM DISCOUNT</v>
      </c>
      <c r="G67" s="10">
        <v>16</v>
      </c>
      <c r="H67" s="13">
        <v>2.9</v>
      </c>
      <c r="I67" s="10" t="str">
        <f t="shared" si="2"/>
        <v>POOR</v>
      </c>
      <c r="J67" s="10" t="str">
        <f t="shared" si="3"/>
        <v>MEDIUM PRICE</v>
      </c>
    </row>
    <row r="68" spans="1:10" hidden="1" x14ac:dyDescent="0.35">
      <c r="A68" t="s">
        <v>206</v>
      </c>
      <c r="B68" s="11">
        <v>990</v>
      </c>
      <c r="C68" s="11">
        <v>1814</v>
      </c>
      <c r="D68" s="11">
        <f t="shared" ref="D68:D114" si="4">C68-B68</f>
        <v>824</v>
      </c>
      <c r="E68" s="12">
        <v>0.45</v>
      </c>
      <c r="F68" s="12" t="str">
        <f t="shared" ref="F68:F114" si="5">IF(E68&lt;20%,"LOW DISCOUNT",IF(E68&lt;40%,"MEDIUM DISCOUNT","HIGH DISCOUNT"))</f>
        <v>HIGH DISCOUNT</v>
      </c>
      <c r="G68" s="10">
        <v>6</v>
      </c>
      <c r="H68" s="13">
        <v>2.2000000000000002</v>
      </c>
      <c r="I68" s="10" t="str">
        <f t="shared" ref="I68:I114" si="6">IF(ISBLANK(H68),"NOT PROVIDED",IF(H68&lt;3,"POOR",IF(H68&lt;4.5,"AVERAGE","EXCELLENT")))</f>
        <v>POOR</v>
      </c>
      <c r="J68" s="10" t="str">
        <f t="shared" ref="J68:J114" si="7">IF(B68&lt;1000,"LOW PRICE",IF(B68&lt;2000,"MEDIUM PRICE","HIGH PRICE"))</f>
        <v>LOW PRICE</v>
      </c>
    </row>
    <row r="69" spans="1:10" hidden="1" x14ac:dyDescent="0.35">
      <c r="A69" t="s">
        <v>209</v>
      </c>
      <c r="B69" s="11">
        <v>1000</v>
      </c>
      <c r="C69" s="11">
        <v>2000</v>
      </c>
      <c r="D69" s="11">
        <f t="shared" si="4"/>
        <v>1000</v>
      </c>
      <c r="E69" s="12">
        <v>0.5</v>
      </c>
      <c r="F69" s="12" t="str">
        <f t="shared" si="5"/>
        <v>HIGH DISCOUNT</v>
      </c>
      <c r="G69" s="10">
        <v>7</v>
      </c>
      <c r="H69" s="13">
        <v>2.2999999999999998</v>
      </c>
      <c r="I69" s="10" t="str">
        <f t="shared" si="6"/>
        <v>POOR</v>
      </c>
      <c r="J69" s="10" t="str">
        <f t="shared" si="7"/>
        <v>MEDIUM PRICE</v>
      </c>
    </row>
    <row r="70" spans="1:10" hidden="1" x14ac:dyDescent="0.35">
      <c r="A70" t="s">
        <v>212</v>
      </c>
      <c r="B70" s="11">
        <v>3750</v>
      </c>
      <c r="C70" s="11">
        <v>6143</v>
      </c>
      <c r="D70" s="11">
        <f t="shared" si="4"/>
        <v>2393</v>
      </c>
      <c r="E70" s="12">
        <v>0.39</v>
      </c>
      <c r="F70" s="12" t="str">
        <f t="shared" si="5"/>
        <v>MEDIUM DISCOUNT</v>
      </c>
      <c r="G70" s="10">
        <v>5</v>
      </c>
      <c r="H70" s="13">
        <v>3</v>
      </c>
      <c r="I70" s="10" t="str">
        <f t="shared" si="6"/>
        <v>AVERAGE</v>
      </c>
      <c r="J70" s="10" t="str">
        <f t="shared" si="7"/>
        <v>HIGH PRICE</v>
      </c>
    </row>
    <row r="71" spans="1:10" hidden="1" x14ac:dyDescent="0.35">
      <c r="A71" t="s">
        <v>215</v>
      </c>
      <c r="B71" s="11">
        <v>382</v>
      </c>
      <c r="C71" s="11">
        <v>700</v>
      </c>
      <c r="D71" s="11">
        <f t="shared" si="4"/>
        <v>318</v>
      </c>
      <c r="E71" s="12">
        <v>0.45</v>
      </c>
      <c r="F71" s="12" t="str">
        <f t="shared" si="5"/>
        <v>HIGH DISCOUNT</v>
      </c>
      <c r="G71" s="10">
        <v>17</v>
      </c>
      <c r="H71" s="13">
        <v>2.6</v>
      </c>
      <c r="I71" s="10" t="str">
        <f t="shared" si="6"/>
        <v>POOR</v>
      </c>
      <c r="J71" s="10" t="str">
        <f t="shared" si="7"/>
        <v>LOW PRICE</v>
      </c>
    </row>
    <row r="72" spans="1:10" hidden="1" x14ac:dyDescent="0.35">
      <c r="A72" t="s">
        <v>218</v>
      </c>
      <c r="B72" s="11">
        <v>2300</v>
      </c>
      <c r="C72" s="11">
        <v>3240</v>
      </c>
      <c r="D72" s="11">
        <f t="shared" si="4"/>
        <v>940</v>
      </c>
      <c r="E72" s="12">
        <v>0.28999999999999998</v>
      </c>
      <c r="F72" s="12" t="str">
        <f t="shared" si="5"/>
        <v>MEDIUM DISCOUNT</v>
      </c>
      <c r="G72" s="10">
        <v>5</v>
      </c>
      <c r="H72" s="13">
        <v>3</v>
      </c>
      <c r="I72" s="10" t="str">
        <f t="shared" si="6"/>
        <v>AVERAGE</v>
      </c>
      <c r="J72" s="10" t="str">
        <f t="shared" si="7"/>
        <v>HIGH PRICE</v>
      </c>
    </row>
    <row r="73" spans="1:10" hidden="1" x14ac:dyDescent="0.35">
      <c r="A73" t="s">
        <v>221</v>
      </c>
      <c r="B73" s="11">
        <v>345</v>
      </c>
      <c r="C73" s="11">
        <v>602</v>
      </c>
      <c r="D73" s="11">
        <f t="shared" si="4"/>
        <v>257</v>
      </c>
      <c r="E73" s="12">
        <v>0.43</v>
      </c>
      <c r="F73" s="12" t="str">
        <f t="shared" si="5"/>
        <v>HIGH DISCOUNT</v>
      </c>
      <c r="G73" s="10">
        <v>6</v>
      </c>
      <c r="H73" s="13">
        <v>2.2999999999999998</v>
      </c>
      <c r="I73" s="10" t="str">
        <f t="shared" si="6"/>
        <v>POOR</v>
      </c>
      <c r="J73" s="10" t="str">
        <f t="shared" si="7"/>
        <v>LOW PRICE</v>
      </c>
    </row>
    <row r="74" spans="1:10" hidden="1" x14ac:dyDescent="0.35">
      <c r="A74" t="s">
        <v>224</v>
      </c>
      <c r="B74" s="11">
        <v>509</v>
      </c>
      <c r="C74" s="11">
        <v>899</v>
      </c>
      <c r="D74" s="11">
        <f t="shared" si="4"/>
        <v>390</v>
      </c>
      <c r="E74" s="12">
        <v>0.43</v>
      </c>
      <c r="F74" s="12" t="str">
        <f t="shared" si="5"/>
        <v>HIGH DISCOUNT</v>
      </c>
      <c r="G74" s="10">
        <v>5</v>
      </c>
      <c r="H74" s="13">
        <v>3</v>
      </c>
      <c r="I74" s="10" t="str">
        <f t="shared" si="6"/>
        <v>AVERAGE</v>
      </c>
      <c r="J74" s="10" t="str">
        <f t="shared" si="7"/>
        <v>LOW PRICE</v>
      </c>
    </row>
    <row r="75" spans="1:10" hidden="1" x14ac:dyDescent="0.35">
      <c r="A75" t="s">
        <v>227</v>
      </c>
      <c r="B75" s="11">
        <v>968</v>
      </c>
      <c r="C75" s="11">
        <v>1814</v>
      </c>
      <c r="D75" s="11">
        <f t="shared" si="4"/>
        <v>846</v>
      </c>
      <c r="E75" s="12">
        <v>0.47</v>
      </c>
      <c r="F75" s="12" t="str">
        <f t="shared" si="5"/>
        <v>HIGH DISCOUNT</v>
      </c>
      <c r="G75" s="10">
        <v>6</v>
      </c>
      <c r="H75" s="13">
        <v>2.2000000000000002</v>
      </c>
      <c r="I75" s="10" t="str">
        <f t="shared" si="6"/>
        <v>POOR</v>
      </c>
      <c r="J75" s="10" t="str">
        <f t="shared" si="7"/>
        <v>LOW PRICE</v>
      </c>
    </row>
    <row r="76" spans="1:10" hidden="1" x14ac:dyDescent="0.35">
      <c r="A76" t="s">
        <v>229</v>
      </c>
      <c r="B76" s="11">
        <v>1570</v>
      </c>
      <c r="C76" s="11">
        <v>2988</v>
      </c>
      <c r="D76" s="11">
        <f t="shared" si="4"/>
        <v>1418</v>
      </c>
      <c r="E76" s="12">
        <v>0.47</v>
      </c>
      <c r="F76" s="12" t="str">
        <f t="shared" si="5"/>
        <v>HIGH DISCOUNT</v>
      </c>
      <c r="G76" s="10">
        <v>7</v>
      </c>
      <c r="H76" s="13">
        <v>2.1</v>
      </c>
      <c r="I76" s="10" t="str">
        <f t="shared" si="6"/>
        <v>POOR</v>
      </c>
      <c r="J76" s="10" t="str">
        <f t="shared" si="7"/>
        <v>MEDIUM PRICE</v>
      </c>
    </row>
    <row r="77" spans="1:10" hidden="1" x14ac:dyDescent="0.35">
      <c r="A77" t="s">
        <v>232</v>
      </c>
      <c r="B77" s="11">
        <v>790</v>
      </c>
      <c r="C77" s="11">
        <v>1485</v>
      </c>
      <c r="D77" s="11">
        <f t="shared" si="4"/>
        <v>695</v>
      </c>
      <c r="E77" s="12">
        <v>0.47</v>
      </c>
      <c r="F77" s="12" t="str">
        <f t="shared" si="5"/>
        <v>HIGH DISCOUNT</v>
      </c>
      <c r="G77" s="10"/>
      <c r="H77" s="13"/>
      <c r="I77" s="10" t="str">
        <f t="shared" si="6"/>
        <v>NOT PROVIDED</v>
      </c>
      <c r="J77" s="10" t="str">
        <f t="shared" si="7"/>
        <v>LOW PRICE</v>
      </c>
    </row>
    <row r="78" spans="1:10" hidden="1" x14ac:dyDescent="0.35">
      <c r="A78" t="s">
        <v>235</v>
      </c>
      <c r="B78" s="11">
        <v>690</v>
      </c>
      <c r="C78" s="11">
        <v>1200</v>
      </c>
      <c r="D78" s="11">
        <f t="shared" si="4"/>
        <v>510</v>
      </c>
      <c r="E78" s="12">
        <v>0.43</v>
      </c>
      <c r="F78" s="12" t="str">
        <f t="shared" si="5"/>
        <v>HIGH DISCOUNT</v>
      </c>
      <c r="G78" s="10"/>
      <c r="H78" s="13"/>
      <c r="I78" s="10" t="str">
        <f t="shared" si="6"/>
        <v>NOT PROVIDED</v>
      </c>
      <c r="J78" s="10" t="str">
        <f t="shared" si="7"/>
        <v>LOW PRICE</v>
      </c>
    </row>
    <row r="79" spans="1:10" hidden="1" x14ac:dyDescent="0.35">
      <c r="A79" t="s">
        <v>237</v>
      </c>
      <c r="B79" s="11">
        <v>1732</v>
      </c>
      <c r="C79" s="11">
        <v>1799</v>
      </c>
      <c r="D79" s="11">
        <f t="shared" si="4"/>
        <v>67</v>
      </c>
      <c r="E79" s="12">
        <v>0.04</v>
      </c>
      <c r="F79" s="12" t="str">
        <f t="shared" si="5"/>
        <v>LOW DISCOUNT</v>
      </c>
      <c r="G79" s="10"/>
      <c r="H79" s="13"/>
      <c r="I79" s="10" t="str">
        <f t="shared" si="6"/>
        <v>NOT PROVIDED</v>
      </c>
      <c r="J79" s="10" t="str">
        <f t="shared" si="7"/>
        <v>MEDIUM PRICE</v>
      </c>
    </row>
    <row r="80" spans="1:10" hidden="1" x14ac:dyDescent="0.35">
      <c r="A80" t="s">
        <v>240</v>
      </c>
      <c r="B80" s="11">
        <v>230</v>
      </c>
      <c r="C80" s="11">
        <v>450</v>
      </c>
      <c r="D80" s="11">
        <f t="shared" si="4"/>
        <v>220</v>
      </c>
      <c r="E80" s="12">
        <v>0.49</v>
      </c>
      <c r="F80" s="12" t="str">
        <f t="shared" si="5"/>
        <v>HIGH DISCOUNT</v>
      </c>
      <c r="G80" s="10"/>
      <c r="H80" s="13"/>
      <c r="I80" s="10" t="str">
        <f t="shared" si="6"/>
        <v>NOT PROVIDED</v>
      </c>
      <c r="J80" s="10" t="str">
        <f t="shared" si="7"/>
        <v>LOW PRICE</v>
      </c>
    </row>
    <row r="81" spans="1:10" hidden="1" x14ac:dyDescent="0.35">
      <c r="A81" t="s">
        <v>243</v>
      </c>
      <c r="B81" s="11">
        <v>1189</v>
      </c>
      <c r="C81" s="11">
        <v>2199</v>
      </c>
      <c r="D81" s="11">
        <f t="shared" si="4"/>
        <v>1010</v>
      </c>
      <c r="E81" s="12">
        <v>0.46</v>
      </c>
      <c r="F81" s="12" t="str">
        <f t="shared" si="5"/>
        <v>HIGH DISCOUNT</v>
      </c>
      <c r="G81" s="10">
        <v>1</v>
      </c>
      <c r="H81" s="13">
        <v>3</v>
      </c>
      <c r="I81" s="10" t="str">
        <f t="shared" si="6"/>
        <v>AVERAGE</v>
      </c>
      <c r="J81" s="10" t="str">
        <f t="shared" si="7"/>
        <v>MEDIUM PRICE</v>
      </c>
    </row>
    <row r="82" spans="1:10" x14ac:dyDescent="0.35">
      <c r="A82" t="s">
        <v>245</v>
      </c>
      <c r="B82" s="11">
        <v>979</v>
      </c>
      <c r="C82" s="11">
        <v>1920</v>
      </c>
      <c r="D82" s="11">
        <f t="shared" si="4"/>
        <v>941</v>
      </c>
      <c r="E82" s="12">
        <v>0.49</v>
      </c>
      <c r="F82" s="12" t="str">
        <f t="shared" si="5"/>
        <v>HIGH DISCOUNT</v>
      </c>
      <c r="G82" s="10">
        <v>1</v>
      </c>
      <c r="H82" s="13">
        <v>5</v>
      </c>
      <c r="I82" s="10" t="str">
        <f t="shared" si="6"/>
        <v>EXCELLENT</v>
      </c>
      <c r="J82" s="10" t="str">
        <f t="shared" si="7"/>
        <v>LOW PRICE</v>
      </c>
    </row>
    <row r="83" spans="1:10" hidden="1" x14ac:dyDescent="0.35">
      <c r="A83" t="s">
        <v>248</v>
      </c>
      <c r="B83" s="11">
        <v>1460</v>
      </c>
      <c r="C83" s="11">
        <v>2290</v>
      </c>
      <c r="D83" s="11">
        <f t="shared" si="4"/>
        <v>830</v>
      </c>
      <c r="E83" s="12">
        <v>0.36</v>
      </c>
      <c r="F83" s="12" t="str">
        <f t="shared" si="5"/>
        <v>MEDIUM DISCOUNT</v>
      </c>
      <c r="G83" s="10"/>
      <c r="H83" s="13"/>
      <c r="I83" s="10" t="str">
        <f t="shared" si="6"/>
        <v>NOT PROVIDED</v>
      </c>
      <c r="J83" s="10" t="str">
        <f t="shared" si="7"/>
        <v>MEDIUM PRICE</v>
      </c>
    </row>
    <row r="84" spans="1:10" hidden="1" x14ac:dyDescent="0.35">
      <c r="A84" t="s">
        <v>251</v>
      </c>
      <c r="B84" s="11">
        <v>1666</v>
      </c>
      <c r="C84" s="11">
        <v>1699</v>
      </c>
      <c r="D84" s="11">
        <f t="shared" si="4"/>
        <v>33</v>
      </c>
      <c r="E84" s="12">
        <v>0.02</v>
      </c>
      <c r="F84" s="12" t="str">
        <f t="shared" si="5"/>
        <v>LOW DISCOUNT</v>
      </c>
      <c r="G84" s="10"/>
      <c r="H84" s="13"/>
      <c r="I84" s="10" t="str">
        <f t="shared" si="6"/>
        <v>NOT PROVIDED</v>
      </c>
      <c r="J84" s="10" t="str">
        <f t="shared" si="7"/>
        <v>MEDIUM PRICE</v>
      </c>
    </row>
    <row r="85" spans="1:10" hidden="1" x14ac:dyDescent="0.35">
      <c r="A85" t="s">
        <v>253</v>
      </c>
      <c r="B85" s="11">
        <v>330</v>
      </c>
      <c r="C85" s="11">
        <v>647</v>
      </c>
      <c r="D85" s="11">
        <f t="shared" si="4"/>
        <v>317</v>
      </c>
      <c r="E85" s="12">
        <v>0.49</v>
      </c>
      <c r="F85" s="12" t="str">
        <f t="shared" si="5"/>
        <v>HIGH DISCOUNT</v>
      </c>
      <c r="G85" s="10">
        <v>1</v>
      </c>
      <c r="H85" s="13">
        <v>4</v>
      </c>
      <c r="I85" s="10" t="str">
        <f t="shared" si="6"/>
        <v>AVERAGE</v>
      </c>
      <c r="J85" s="10" t="str">
        <f t="shared" si="7"/>
        <v>LOW PRICE</v>
      </c>
    </row>
    <row r="86" spans="1:10" hidden="1" x14ac:dyDescent="0.35">
      <c r="A86" t="s">
        <v>154</v>
      </c>
      <c r="B86" s="11">
        <v>176</v>
      </c>
      <c r="C86" s="11">
        <v>345</v>
      </c>
      <c r="D86" s="11">
        <f t="shared" si="4"/>
        <v>169</v>
      </c>
      <c r="E86" s="12">
        <v>0.49</v>
      </c>
      <c r="F86" s="12" t="str">
        <f t="shared" si="5"/>
        <v>HIGH DISCOUNT</v>
      </c>
      <c r="G86" s="10"/>
      <c r="H86" s="13"/>
      <c r="I86" s="10" t="str">
        <f t="shared" si="6"/>
        <v>NOT PROVIDED</v>
      </c>
      <c r="J86" s="10" t="str">
        <f t="shared" si="7"/>
        <v>LOW PRICE</v>
      </c>
    </row>
    <row r="87" spans="1:10" hidden="1" x14ac:dyDescent="0.35">
      <c r="A87" t="s">
        <v>256</v>
      </c>
      <c r="B87" s="11">
        <v>1466</v>
      </c>
      <c r="C87" s="11">
        <v>1699</v>
      </c>
      <c r="D87" s="11">
        <f t="shared" si="4"/>
        <v>233</v>
      </c>
      <c r="E87" s="12">
        <v>0.14000000000000001</v>
      </c>
      <c r="F87" s="12" t="str">
        <f t="shared" si="5"/>
        <v>LOW DISCOUNT</v>
      </c>
      <c r="G87" s="10"/>
      <c r="H87" s="13"/>
      <c r="I87" s="10" t="str">
        <f t="shared" si="6"/>
        <v>NOT PROVIDED</v>
      </c>
      <c r="J87" s="10" t="str">
        <f t="shared" si="7"/>
        <v>MEDIUM PRICE</v>
      </c>
    </row>
    <row r="88" spans="1:10" hidden="1" x14ac:dyDescent="0.35">
      <c r="A88" t="s">
        <v>258</v>
      </c>
      <c r="B88" s="11">
        <v>274</v>
      </c>
      <c r="C88" s="11">
        <v>537</v>
      </c>
      <c r="D88" s="11">
        <f t="shared" si="4"/>
        <v>263</v>
      </c>
      <c r="E88" s="12">
        <v>0.49</v>
      </c>
      <c r="F88" s="12" t="str">
        <f t="shared" si="5"/>
        <v>HIGH DISCOUNT</v>
      </c>
      <c r="G88" s="10"/>
      <c r="H88" s="13"/>
      <c r="I88" s="10" t="str">
        <f t="shared" si="6"/>
        <v>NOT PROVIDED</v>
      </c>
      <c r="J88" s="10" t="str">
        <f t="shared" si="7"/>
        <v>LOW PRICE</v>
      </c>
    </row>
    <row r="89" spans="1:10" hidden="1" x14ac:dyDescent="0.35">
      <c r="A89" t="s">
        <v>261</v>
      </c>
      <c r="B89" s="11">
        <v>799</v>
      </c>
      <c r="C89" s="11">
        <v>900</v>
      </c>
      <c r="D89" s="11">
        <f t="shared" si="4"/>
        <v>101</v>
      </c>
      <c r="E89" s="12">
        <v>0.11</v>
      </c>
      <c r="F89" s="12" t="str">
        <f t="shared" si="5"/>
        <v>LOW DISCOUNT</v>
      </c>
      <c r="G89" s="10"/>
      <c r="H89" s="13"/>
      <c r="I89" s="10" t="str">
        <f t="shared" si="6"/>
        <v>NOT PROVIDED</v>
      </c>
      <c r="J89" s="10" t="str">
        <f t="shared" si="7"/>
        <v>LOW PRICE</v>
      </c>
    </row>
    <row r="90" spans="1:10" hidden="1" x14ac:dyDescent="0.35">
      <c r="A90" t="s">
        <v>175</v>
      </c>
      <c r="B90" s="11">
        <v>657</v>
      </c>
      <c r="C90" s="11">
        <v>1288</v>
      </c>
      <c r="D90" s="11">
        <f t="shared" si="4"/>
        <v>631</v>
      </c>
      <c r="E90" s="12">
        <v>0.49</v>
      </c>
      <c r="F90" s="12" t="str">
        <f t="shared" si="5"/>
        <v>HIGH DISCOUNT</v>
      </c>
      <c r="G90" s="10"/>
      <c r="H90" s="13"/>
      <c r="I90" s="10" t="str">
        <f t="shared" si="6"/>
        <v>NOT PROVIDED</v>
      </c>
      <c r="J90" s="10" t="str">
        <f t="shared" si="7"/>
        <v>LOW PRICE</v>
      </c>
    </row>
    <row r="91" spans="1:10" hidden="1" x14ac:dyDescent="0.35">
      <c r="A91" t="s">
        <v>264</v>
      </c>
      <c r="B91" s="11">
        <v>1468</v>
      </c>
      <c r="C91" s="11">
        <v>1699</v>
      </c>
      <c r="D91" s="11">
        <f t="shared" si="4"/>
        <v>231</v>
      </c>
      <c r="E91" s="12">
        <v>0.14000000000000001</v>
      </c>
      <c r="F91" s="12" t="str">
        <f t="shared" si="5"/>
        <v>LOW DISCOUNT</v>
      </c>
      <c r="G91" s="10"/>
      <c r="H91" s="13"/>
      <c r="I91" s="10" t="str">
        <f t="shared" si="6"/>
        <v>NOT PROVIDED</v>
      </c>
      <c r="J91" s="10" t="str">
        <f t="shared" si="7"/>
        <v>MEDIUM PRICE</v>
      </c>
    </row>
    <row r="92" spans="1:10" hidden="1" x14ac:dyDescent="0.35">
      <c r="A92" t="s">
        <v>266</v>
      </c>
      <c r="B92" s="11">
        <v>630</v>
      </c>
      <c r="C92" s="11">
        <v>1100</v>
      </c>
      <c r="D92" s="11">
        <f t="shared" si="4"/>
        <v>470</v>
      </c>
      <c r="E92" s="12">
        <v>0.43</v>
      </c>
      <c r="F92" s="12" t="str">
        <f t="shared" si="5"/>
        <v>HIGH DISCOUNT</v>
      </c>
      <c r="G92" s="10"/>
      <c r="H92" s="13"/>
      <c r="I92" s="10" t="str">
        <f t="shared" si="6"/>
        <v>NOT PROVIDED</v>
      </c>
      <c r="J92" s="10" t="str">
        <f t="shared" si="7"/>
        <v>LOW PRICE</v>
      </c>
    </row>
    <row r="93" spans="1:10" hidden="1" x14ac:dyDescent="0.35">
      <c r="A93" t="s">
        <v>269</v>
      </c>
      <c r="B93" s="11">
        <v>850</v>
      </c>
      <c r="C93" s="11">
        <v>1700</v>
      </c>
      <c r="D93" s="11">
        <f t="shared" si="4"/>
        <v>850</v>
      </c>
      <c r="E93" s="12">
        <v>0.5</v>
      </c>
      <c r="F93" s="12" t="str">
        <f t="shared" si="5"/>
        <v>HIGH DISCOUNT</v>
      </c>
      <c r="G93" s="10"/>
      <c r="H93" s="13"/>
      <c r="I93" s="10" t="str">
        <f t="shared" si="6"/>
        <v>NOT PROVIDED</v>
      </c>
      <c r="J93" s="10" t="str">
        <f t="shared" si="7"/>
        <v>LOW PRICE</v>
      </c>
    </row>
    <row r="94" spans="1:10" hidden="1" x14ac:dyDescent="0.35">
      <c r="A94" t="s">
        <v>272</v>
      </c>
      <c r="B94" s="11">
        <v>1300</v>
      </c>
      <c r="C94" s="11">
        <v>2500</v>
      </c>
      <c r="D94" s="11">
        <f t="shared" si="4"/>
        <v>1200</v>
      </c>
      <c r="E94" s="12">
        <v>0.48</v>
      </c>
      <c r="F94" s="12" t="str">
        <f t="shared" si="5"/>
        <v>HIGH DISCOUNT</v>
      </c>
      <c r="G94" s="10"/>
      <c r="H94" s="13"/>
      <c r="I94" s="10" t="str">
        <f t="shared" si="6"/>
        <v>NOT PROVIDED</v>
      </c>
      <c r="J94" s="10" t="str">
        <f t="shared" si="7"/>
        <v>MEDIUM PRICE</v>
      </c>
    </row>
    <row r="95" spans="1:10" hidden="1" x14ac:dyDescent="0.35">
      <c r="A95" t="s">
        <v>274</v>
      </c>
      <c r="B95" s="11">
        <v>105</v>
      </c>
      <c r="C95" s="11">
        <v>200</v>
      </c>
      <c r="D95" s="11">
        <f t="shared" si="4"/>
        <v>95</v>
      </c>
      <c r="E95" s="12">
        <v>0.48</v>
      </c>
      <c r="F95" s="12" t="str">
        <f t="shared" si="5"/>
        <v>HIGH DISCOUNT</v>
      </c>
      <c r="G95" s="10"/>
      <c r="H95" s="13"/>
      <c r="I95" s="10" t="str">
        <f t="shared" si="6"/>
        <v>NOT PROVIDED</v>
      </c>
      <c r="J95" s="10" t="str">
        <f t="shared" si="7"/>
        <v>LOW PRICE</v>
      </c>
    </row>
    <row r="96" spans="1:10" hidden="1" x14ac:dyDescent="0.35">
      <c r="A96" t="s">
        <v>277</v>
      </c>
      <c r="B96" s="11">
        <v>899</v>
      </c>
      <c r="C96" s="11">
        <v>1699</v>
      </c>
      <c r="D96" s="11">
        <f t="shared" si="4"/>
        <v>800</v>
      </c>
      <c r="E96" s="12">
        <v>0.47</v>
      </c>
      <c r="F96" s="12" t="str">
        <f t="shared" si="5"/>
        <v>HIGH DISCOUNT</v>
      </c>
      <c r="G96" s="10"/>
      <c r="H96" s="13"/>
      <c r="I96" s="10" t="str">
        <f t="shared" si="6"/>
        <v>NOT PROVIDED</v>
      </c>
      <c r="J96" s="10" t="str">
        <f t="shared" si="7"/>
        <v>LOW PRICE</v>
      </c>
    </row>
    <row r="97" spans="1:10" hidden="1" x14ac:dyDescent="0.35">
      <c r="A97" t="s">
        <v>278</v>
      </c>
      <c r="B97" s="11">
        <v>1200</v>
      </c>
      <c r="C97" s="11">
        <v>2400</v>
      </c>
      <c r="D97" s="11">
        <f t="shared" si="4"/>
        <v>1200</v>
      </c>
      <c r="E97" s="12">
        <v>0.5</v>
      </c>
      <c r="F97" s="12" t="str">
        <f t="shared" si="5"/>
        <v>HIGH DISCOUNT</v>
      </c>
      <c r="G97" s="10"/>
      <c r="H97" s="13"/>
      <c r="I97" s="10" t="str">
        <f t="shared" si="6"/>
        <v>NOT PROVIDED</v>
      </c>
      <c r="J97" s="10" t="str">
        <f t="shared" si="7"/>
        <v>MEDIUM PRICE</v>
      </c>
    </row>
    <row r="98" spans="1:10" hidden="1" x14ac:dyDescent="0.35">
      <c r="A98" t="s">
        <v>280</v>
      </c>
      <c r="B98" s="11">
        <v>1526</v>
      </c>
      <c r="C98" s="11">
        <v>1660</v>
      </c>
      <c r="D98" s="11">
        <f t="shared" si="4"/>
        <v>134</v>
      </c>
      <c r="E98" s="12">
        <v>0.08</v>
      </c>
      <c r="F98" s="12" t="str">
        <f t="shared" si="5"/>
        <v>LOW DISCOUNT</v>
      </c>
      <c r="G98" s="10"/>
      <c r="H98" s="13"/>
      <c r="I98" s="10" t="str">
        <f t="shared" si="6"/>
        <v>NOT PROVIDED</v>
      </c>
      <c r="J98" s="10" t="str">
        <f t="shared" si="7"/>
        <v>MEDIUM PRICE</v>
      </c>
    </row>
    <row r="99" spans="1:10" hidden="1" x14ac:dyDescent="0.35">
      <c r="A99" t="s">
        <v>282</v>
      </c>
      <c r="B99" s="11">
        <v>1462</v>
      </c>
      <c r="C99" s="11">
        <v>1499</v>
      </c>
      <c r="D99" s="11">
        <f t="shared" si="4"/>
        <v>37</v>
      </c>
      <c r="E99" s="12">
        <v>0.02</v>
      </c>
      <c r="F99" s="12" t="str">
        <f t="shared" si="5"/>
        <v>LOW DISCOUNT</v>
      </c>
      <c r="G99" s="10"/>
      <c r="H99" s="13"/>
      <c r="I99" s="10" t="str">
        <f t="shared" si="6"/>
        <v>NOT PROVIDED</v>
      </c>
      <c r="J99" s="10" t="str">
        <f t="shared" si="7"/>
        <v>MEDIUM PRICE</v>
      </c>
    </row>
    <row r="100" spans="1:10" hidden="1" x14ac:dyDescent="0.35">
      <c r="A100" t="s">
        <v>284</v>
      </c>
      <c r="B100" s="11">
        <v>248</v>
      </c>
      <c r="C100" s="11">
        <v>486</v>
      </c>
      <c r="D100" s="11">
        <f t="shared" si="4"/>
        <v>238</v>
      </c>
      <c r="E100" s="12">
        <v>0.49</v>
      </c>
      <c r="F100" s="12" t="str">
        <f t="shared" si="5"/>
        <v>HIGH DISCOUNT</v>
      </c>
      <c r="G100" s="10"/>
      <c r="H100" s="13"/>
      <c r="I100" s="10" t="str">
        <f t="shared" si="6"/>
        <v>NOT PROVIDED</v>
      </c>
      <c r="J100" s="10" t="str">
        <f t="shared" si="7"/>
        <v>LOW PRICE</v>
      </c>
    </row>
    <row r="101" spans="1:10" hidden="1" x14ac:dyDescent="0.35">
      <c r="A101" t="s">
        <v>287</v>
      </c>
      <c r="B101" s="11">
        <v>3546</v>
      </c>
      <c r="C101" s="11">
        <v>3699</v>
      </c>
      <c r="D101" s="11">
        <f t="shared" si="4"/>
        <v>153</v>
      </c>
      <c r="E101" s="12">
        <v>0.04</v>
      </c>
      <c r="F101" s="12" t="str">
        <f t="shared" si="5"/>
        <v>LOW DISCOUNT</v>
      </c>
      <c r="G101" s="10"/>
      <c r="H101" s="13"/>
      <c r="I101" s="10" t="str">
        <f t="shared" si="6"/>
        <v>NOT PROVIDED</v>
      </c>
      <c r="J101" s="10" t="str">
        <f t="shared" si="7"/>
        <v>HIGH PRICE</v>
      </c>
    </row>
    <row r="102" spans="1:10" hidden="1" x14ac:dyDescent="0.35">
      <c r="A102" t="s">
        <v>289</v>
      </c>
      <c r="B102" s="11">
        <v>525</v>
      </c>
      <c r="C102" s="11">
        <v>1029</v>
      </c>
      <c r="D102" s="11">
        <f t="shared" si="4"/>
        <v>504</v>
      </c>
      <c r="E102" s="12">
        <v>0.49</v>
      </c>
      <c r="F102" s="12" t="str">
        <f t="shared" si="5"/>
        <v>HIGH DISCOUNT</v>
      </c>
      <c r="G102" s="10"/>
      <c r="H102" s="13"/>
      <c r="I102" s="10" t="str">
        <f t="shared" si="6"/>
        <v>NOT PROVIDED</v>
      </c>
      <c r="J102" s="10" t="str">
        <f t="shared" si="7"/>
        <v>LOW PRICE</v>
      </c>
    </row>
    <row r="103" spans="1:10" hidden="1" x14ac:dyDescent="0.35">
      <c r="A103" t="s">
        <v>292</v>
      </c>
      <c r="B103" s="11">
        <v>1080</v>
      </c>
      <c r="C103" s="11">
        <v>1874</v>
      </c>
      <c r="D103" s="11">
        <f t="shared" si="4"/>
        <v>794</v>
      </c>
      <c r="E103" s="12">
        <v>0.42</v>
      </c>
      <c r="F103" s="12" t="str">
        <f t="shared" si="5"/>
        <v>HIGH DISCOUNT</v>
      </c>
      <c r="G103" s="10"/>
      <c r="H103" s="13"/>
      <c r="I103" s="10" t="str">
        <f t="shared" si="6"/>
        <v>NOT PROVIDED</v>
      </c>
      <c r="J103" s="10" t="str">
        <f t="shared" si="7"/>
        <v>MEDIUM PRICE</v>
      </c>
    </row>
    <row r="104" spans="1:10" x14ac:dyDescent="0.35">
      <c r="A104" t="s">
        <v>295</v>
      </c>
      <c r="B104" s="11">
        <v>3640</v>
      </c>
      <c r="C104" s="11">
        <v>4588</v>
      </c>
      <c r="D104" s="11">
        <f t="shared" si="4"/>
        <v>948</v>
      </c>
      <c r="E104" s="12">
        <v>0.21</v>
      </c>
      <c r="F104" s="12" t="str">
        <f t="shared" si="5"/>
        <v>MEDIUM DISCOUNT</v>
      </c>
      <c r="G104" s="10">
        <v>1</v>
      </c>
      <c r="H104" s="13">
        <v>5</v>
      </c>
      <c r="I104" s="10" t="str">
        <f t="shared" si="6"/>
        <v>EXCELLENT</v>
      </c>
      <c r="J104" s="10" t="str">
        <f t="shared" si="7"/>
        <v>HIGH PRICE</v>
      </c>
    </row>
    <row r="105" spans="1:10" hidden="1" x14ac:dyDescent="0.35">
      <c r="A105" t="s">
        <v>298</v>
      </c>
      <c r="B105" s="11">
        <v>1420</v>
      </c>
      <c r="C105" s="11">
        <v>2420</v>
      </c>
      <c r="D105" s="11">
        <f t="shared" si="4"/>
        <v>1000</v>
      </c>
      <c r="E105" s="12">
        <v>0.41</v>
      </c>
      <c r="F105" s="12" t="str">
        <f t="shared" si="5"/>
        <v>HIGH DISCOUNT</v>
      </c>
      <c r="G105" s="10"/>
      <c r="H105" s="13"/>
      <c r="I105" s="10" t="str">
        <f t="shared" si="6"/>
        <v>NOT PROVIDED</v>
      </c>
      <c r="J105" s="10" t="str">
        <f t="shared" si="7"/>
        <v>MEDIUM PRICE</v>
      </c>
    </row>
    <row r="106" spans="1:10" hidden="1" x14ac:dyDescent="0.35">
      <c r="A106" t="s">
        <v>301</v>
      </c>
      <c r="B106" s="11">
        <v>1875</v>
      </c>
      <c r="C106" s="11">
        <v>1899</v>
      </c>
      <c r="D106" s="11">
        <f t="shared" si="4"/>
        <v>24</v>
      </c>
      <c r="E106" s="12">
        <v>0.01</v>
      </c>
      <c r="F106" s="12" t="str">
        <f t="shared" si="5"/>
        <v>LOW DISCOUNT</v>
      </c>
      <c r="G106" s="10"/>
      <c r="H106" s="13"/>
      <c r="I106" s="10" t="str">
        <f t="shared" si="6"/>
        <v>NOT PROVIDED</v>
      </c>
      <c r="J106" s="10" t="str">
        <f t="shared" si="7"/>
        <v>MEDIUM PRICE</v>
      </c>
    </row>
    <row r="107" spans="1:10" hidden="1" x14ac:dyDescent="0.35">
      <c r="A107" t="s">
        <v>304</v>
      </c>
      <c r="B107" s="11">
        <v>198</v>
      </c>
      <c r="C107" s="11">
        <v>260</v>
      </c>
      <c r="D107" s="11">
        <f t="shared" si="4"/>
        <v>62</v>
      </c>
      <c r="E107" s="12">
        <v>0.24</v>
      </c>
      <c r="F107" s="12" t="str">
        <f t="shared" si="5"/>
        <v>MEDIUM DISCOUNT</v>
      </c>
      <c r="G107" s="10"/>
      <c r="H107" s="13"/>
      <c r="I107" s="10" t="str">
        <f t="shared" si="6"/>
        <v>NOT PROVIDED</v>
      </c>
      <c r="J107" s="10" t="str">
        <f t="shared" si="7"/>
        <v>LOW PRICE</v>
      </c>
    </row>
    <row r="108" spans="1:10" hidden="1" x14ac:dyDescent="0.35">
      <c r="A108" t="s">
        <v>307</v>
      </c>
      <c r="B108" s="11">
        <v>1150</v>
      </c>
      <c r="C108" s="11">
        <v>1737</v>
      </c>
      <c r="D108" s="11">
        <f t="shared" si="4"/>
        <v>587</v>
      </c>
      <c r="E108" s="12">
        <v>0.34</v>
      </c>
      <c r="F108" s="12" t="str">
        <f t="shared" si="5"/>
        <v>MEDIUM DISCOUNT</v>
      </c>
      <c r="G108" s="10"/>
      <c r="H108" s="13"/>
      <c r="I108" s="10" t="str">
        <f t="shared" si="6"/>
        <v>NOT PROVIDED</v>
      </c>
      <c r="J108" s="10" t="str">
        <f t="shared" si="7"/>
        <v>MEDIUM PRICE</v>
      </c>
    </row>
    <row r="109" spans="1:10" hidden="1" x14ac:dyDescent="0.35">
      <c r="A109" t="s">
        <v>310</v>
      </c>
      <c r="B109" s="11">
        <v>1190</v>
      </c>
      <c r="C109" s="11">
        <v>1810</v>
      </c>
      <c r="D109" s="11">
        <f t="shared" si="4"/>
        <v>620</v>
      </c>
      <c r="E109" s="12">
        <v>0.34</v>
      </c>
      <c r="F109" s="12" t="str">
        <f t="shared" si="5"/>
        <v>MEDIUM DISCOUNT</v>
      </c>
      <c r="G109" s="10"/>
      <c r="H109" s="13"/>
      <c r="I109" s="10" t="str">
        <f t="shared" si="6"/>
        <v>NOT PROVIDED</v>
      </c>
      <c r="J109" s="10" t="str">
        <f t="shared" si="7"/>
        <v>MEDIUM PRICE</v>
      </c>
    </row>
    <row r="110" spans="1:10" hidden="1" x14ac:dyDescent="0.35">
      <c r="A110" t="s">
        <v>312</v>
      </c>
      <c r="B110" s="11">
        <v>1658</v>
      </c>
      <c r="C110" s="11">
        <v>1699</v>
      </c>
      <c r="D110" s="11">
        <f t="shared" si="4"/>
        <v>41</v>
      </c>
      <c r="E110" s="12">
        <v>0.02</v>
      </c>
      <c r="F110" s="12" t="str">
        <f t="shared" si="5"/>
        <v>LOW DISCOUNT</v>
      </c>
      <c r="G110" s="10"/>
      <c r="H110" s="13"/>
      <c r="I110" s="10" t="str">
        <f t="shared" si="6"/>
        <v>NOT PROVIDED</v>
      </c>
      <c r="J110" s="10" t="str">
        <f t="shared" si="7"/>
        <v>MEDIUM PRICE</v>
      </c>
    </row>
    <row r="111" spans="1:10" hidden="1" x14ac:dyDescent="0.35">
      <c r="A111" t="s">
        <v>314</v>
      </c>
      <c r="B111" s="11">
        <v>1768</v>
      </c>
      <c r="C111" s="11">
        <v>1799</v>
      </c>
      <c r="D111" s="11">
        <f t="shared" si="4"/>
        <v>31</v>
      </c>
      <c r="E111" s="12">
        <v>0.02</v>
      </c>
      <c r="F111" s="12" t="str">
        <f t="shared" si="5"/>
        <v>LOW DISCOUNT</v>
      </c>
      <c r="G111" s="10"/>
      <c r="H111" s="13"/>
      <c r="I111" s="10" t="str">
        <f t="shared" si="6"/>
        <v>NOT PROVIDED</v>
      </c>
      <c r="J111" s="10" t="str">
        <f t="shared" si="7"/>
        <v>MEDIUM PRICE</v>
      </c>
    </row>
    <row r="112" spans="1:10" hidden="1" x14ac:dyDescent="0.35">
      <c r="A112" t="s">
        <v>316</v>
      </c>
      <c r="B112" s="11">
        <v>199</v>
      </c>
      <c r="C112" s="11">
        <v>553</v>
      </c>
      <c r="D112" s="11">
        <f t="shared" si="4"/>
        <v>354</v>
      </c>
      <c r="E112" s="12">
        <v>0.64</v>
      </c>
      <c r="F112" s="12" t="str">
        <f t="shared" si="5"/>
        <v>HIGH DISCOUNT</v>
      </c>
      <c r="G112" s="10"/>
      <c r="H112" s="13"/>
      <c r="I112" s="10" t="str">
        <f t="shared" si="6"/>
        <v>NOT PROVIDED</v>
      </c>
      <c r="J112" s="10" t="str">
        <f t="shared" si="7"/>
        <v>LOW PRICE</v>
      </c>
    </row>
    <row r="113" spans="1:10" hidden="1" x14ac:dyDescent="0.35">
      <c r="A113" t="s">
        <v>318</v>
      </c>
      <c r="B113" s="11">
        <v>450</v>
      </c>
      <c r="C113" s="11">
        <v>900</v>
      </c>
      <c r="D113" s="11">
        <f t="shared" si="4"/>
        <v>450</v>
      </c>
      <c r="E113" s="12">
        <v>0.5</v>
      </c>
      <c r="F113" s="12" t="str">
        <f t="shared" si="5"/>
        <v>HIGH DISCOUNT</v>
      </c>
      <c r="G113" s="10">
        <v>1</v>
      </c>
      <c r="H113" s="13">
        <v>2</v>
      </c>
      <c r="I113" s="10" t="str">
        <f t="shared" si="6"/>
        <v>POOR</v>
      </c>
      <c r="J113" s="10" t="str">
        <f t="shared" si="7"/>
        <v>LOW PRICE</v>
      </c>
    </row>
    <row r="114" spans="1:10" hidden="1" x14ac:dyDescent="0.35">
      <c r="A114" t="s">
        <v>320</v>
      </c>
      <c r="B114" s="11">
        <v>169</v>
      </c>
      <c r="C114" s="11">
        <v>320</v>
      </c>
      <c r="D114" s="11">
        <f t="shared" si="4"/>
        <v>151</v>
      </c>
      <c r="E114" s="12">
        <v>0.47</v>
      </c>
      <c r="F114" s="12" t="str">
        <f t="shared" si="5"/>
        <v>HIGH DISCOUNT</v>
      </c>
      <c r="G114" s="10"/>
      <c r="H114" s="13"/>
      <c r="I114" s="10" t="str">
        <f t="shared" si="6"/>
        <v>NOT PROVIDED</v>
      </c>
      <c r="J114" s="10" t="str">
        <f t="shared" si="7"/>
        <v>LOW PRICE</v>
      </c>
    </row>
    <row r="115" spans="1:10" hidden="1" x14ac:dyDescent="0.35">
      <c r="B115" s="11"/>
      <c r="C115" s="11"/>
      <c r="D115" s="11"/>
      <c r="E115" s="12"/>
      <c r="F115" s="12"/>
      <c r="G115" s="10"/>
      <c r="H115" s="13"/>
      <c r="I115" s="10"/>
      <c r="J115" s="10"/>
    </row>
  </sheetData>
  <autoFilter ref="A1:U115" xr:uid="{B8472F90-B92B-4877-95F5-7216DFC85A9A}">
    <filterColumn colId="7">
      <top10 val="10" filterVal="4.8"/>
    </filterColumn>
  </autoFilter>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E8F9D-056F-4EEF-A2DF-F3161E8DB07A}">
  <sheetPr filterMode="1"/>
  <dimension ref="A1:J116"/>
  <sheetViews>
    <sheetView workbookViewId="0">
      <selection activeCell="H1" sqref="H1:H1048576"/>
    </sheetView>
  </sheetViews>
  <sheetFormatPr defaultRowHeight="14.5" x14ac:dyDescent="0.35"/>
  <cols>
    <col min="1" max="1" width="74.36328125" customWidth="1"/>
    <col min="2" max="2" width="18.453125" style="3" bestFit="1" customWidth="1"/>
    <col min="3" max="3" width="11.1796875" style="3" bestFit="1" customWidth="1"/>
    <col min="4" max="4" width="16.26953125" style="3" bestFit="1" customWidth="1"/>
    <col min="5" max="5" width="10.36328125" style="1" bestFit="1" customWidth="1"/>
    <col min="6" max="6" width="20.26953125" style="1" bestFit="1" customWidth="1"/>
    <col min="8" max="8" width="9.1796875" style="4" bestFit="1" customWidth="1"/>
    <col min="9" max="9" width="18" bestFit="1" customWidth="1"/>
    <col min="10" max="10" width="16.36328125" bestFit="1" customWidth="1"/>
  </cols>
  <sheetData>
    <row r="1" spans="1:10" s="5" customFormat="1" ht="18.5" x14ac:dyDescent="0.45">
      <c r="A1" s="5" t="s">
        <v>0</v>
      </c>
      <c r="B1" s="7" t="s">
        <v>1</v>
      </c>
      <c r="C1" s="7" t="s">
        <v>326</v>
      </c>
      <c r="D1" s="7" t="s">
        <v>331</v>
      </c>
      <c r="E1" s="8" t="s">
        <v>3</v>
      </c>
      <c r="F1" s="8" t="s">
        <v>323</v>
      </c>
      <c r="G1" s="6" t="s">
        <v>4</v>
      </c>
      <c r="H1" s="9" t="s">
        <v>5</v>
      </c>
      <c r="I1" s="6" t="s">
        <v>324</v>
      </c>
      <c r="J1" s="6" t="s">
        <v>325</v>
      </c>
    </row>
    <row r="2" spans="1:10" x14ac:dyDescent="0.35">
      <c r="A2" t="s">
        <v>318</v>
      </c>
      <c r="B2" s="11">
        <v>450</v>
      </c>
      <c r="C2" s="11">
        <v>900</v>
      </c>
      <c r="D2" s="11">
        <f t="shared" ref="D2:D33" si="0">C2-B2</f>
        <v>450</v>
      </c>
      <c r="E2" s="12">
        <v>0.5</v>
      </c>
      <c r="F2" s="12" t="str">
        <f t="shared" ref="F2:F33" si="1">IF(E2&lt;20%,"LOW DISCOUNT",IF(E2&lt;40%,"MEDIUM DISCOUNT","HIGH DISCOUNT"))</f>
        <v>HIGH DISCOUNT</v>
      </c>
      <c r="G2" s="10">
        <v>1</v>
      </c>
      <c r="H2" s="13">
        <v>2</v>
      </c>
      <c r="I2" s="10" t="str">
        <f t="shared" ref="I2:I33" si="2">IF(ISBLANK(H2),"NOT PROVIDED",IF(H2&lt;3,"POOR",IF(H2&lt;4.5,"AVERAGE","EXCELLENT")))</f>
        <v>POOR</v>
      </c>
      <c r="J2" s="10" t="str">
        <f t="shared" ref="J2:J33" si="3">IF(B2&lt;1000,"LOW PRICE",IF(B2&lt;2000,"MEDIUM PRICE","HIGH PRICE"))</f>
        <v>LOW PRICE</v>
      </c>
    </row>
    <row r="3" spans="1:10" x14ac:dyDescent="0.35">
      <c r="A3" t="s">
        <v>229</v>
      </c>
      <c r="B3" s="11">
        <v>1570</v>
      </c>
      <c r="C3" s="11">
        <v>2988</v>
      </c>
      <c r="D3" s="11">
        <f t="shared" si="0"/>
        <v>1418</v>
      </c>
      <c r="E3" s="12">
        <v>0.47</v>
      </c>
      <c r="F3" s="12" t="str">
        <f t="shared" si="1"/>
        <v>HIGH DISCOUNT</v>
      </c>
      <c r="G3" s="10">
        <v>7</v>
      </c>
      <c r="H3" s="13">
        <v>2.1</v>
      </c>
      <c r="I3" s="10" t="str">
        <f t="shared" si="2"/>
        <v>POOR</v>
      </c>
      <c r="J3" s="10" t="str">
        <f t="shared" si="3"/>
        <v>MEDIUM PRICE</v>
      </c>
    </row>
    <row r="4" spans="1:10" x14ac:dyDescent="0.35">
      <c r="A4" t="s">
        <v>190</v>
      </c>
      <c r="B4" s="11">
        <v>2115</v>
      </c>
      <c r="C4" s="11">
        <v>4700</v>
      </c>
      <c r="D4" s="11">
        <f t="shared" si="0"/>
        <v>2585</v>
      </c>
      <c r="E4" s="12">
        <v>0.55000000000000004</v>
      </c>
      <c r="F4" s="12" t="str">
        <f t="shared" si="1"/>
        <v>HIGH DISCOUNT</v>
      </c>
      <c r="G4" s="10">
        <v>13</v>
      </c>
      <c r="H4" s="13">
        <v>2.1</v>
      </c>
      <c r="I4" s="10" t="str">
        <f t="shared" si="2"/>
        <v>POOR</v>
      </c>
      <c r="J4" s="10" t="str">
        <f t="shared" si="3"/>
        <v>HIGH PRICE</v>
      </c>
    </row>
    <row r="5" spans="1:10" hidden="1" x14ac:dyDescent="0.35">
      <c r="A5" t="s">
        <v>264</v>
      </c>
      <c r="B5" s="11">
        <v>1468</v>
      </c>
      <c r="C5" s="11">
        <v>1699</v>
      </c>
      <c r="D5" s="11">
        <f t="shared" si="0"/>
        <v>231</v>
      </c>
      <c r="E5" s="12">
        <v>0.14000000000000001</v>
      </c>
      <c r="F5" s="12" t="str">
        <f t="shared" si="1"/>
        <v>LOW DISCOUNT</v>
      </c>
      <c r="G5" s="10"/>
      <c r="H5" s="13"/>
      <c r="I5" s="10" t="str">
        <f t="shared" si="2"/>
        <v>NOT PROVIDED</v>
      </c>
      <c r="J5" s="10" t="str">
        <f t="shared" si="3"/>
        <v>MEDIUM PRICE</v>
      </c>
    </row>
    <row r="6" spans="1:10" x14ac:dyDescent="0.35">
      <c r="A6" t="s">
        <v>206</v>
      </c>
      <c r="B6" s="11">
        <v>990</v>
      </c>
      <c r="C6" s="11">
        <v>1814</v>
      </c>
      <c r="D6" s="11">
        <f t="shared" si="0"/>
        <v>824</v>
      </c>
      <c r="E6" s="12">
        <v>0.45</v>
      </c>
      <c r="F6" s="12" t="str">
        <f t="shared" si="1"/>
        <v>HIGH DISCOUNT</v>
      </c>
      <c r="G6" s="10">
        <v>6</v>
      </c>
      <c r="H6" s="13">
        <v>2.2000000000000002</v>
      </c>
      <c r="I6" s="10" t="str">
        <f t="shared" si="2"/>
        <v>POOR</v>
      </c>
      <c r="J6" s="10" t="str">
        <f t="shared" si="3"/>
        <v>LOW PRICE</v>
      </c>
    </row>
    <row r="7" spans="1:10" hidden="1" x14ac:dyDescent="0.35">
      <c r="A7" t="s">
        <v>280</v>
      </c>
      <c r="B7" s="11">
        <v>1526</v>
      </c>
      <c r="C7" s="11">
        <v>1660</v>
      </c>
      <c r="D7" s="11">
        <f t="shared" si="0"/>
        <v>134</v>
      </c>
      <c r="E7" s="12">
        <v>0.08</v>
      </c>
      <c r="F7" s="12" t="str">
        <f t="shared" si="1"/>
        <v>LOW DISCOUNT</v>
      </c>
      <c r="G7" s="10"/>
      <c r="H7" s="13"/>
      <c r="I7" s="10" t="str">
        <f t="shared" si="2"/>
        <v>NOT PROVIDED</v>
      </c>
      <c r="J7" s="10" t="str">
        <f t="shared" si="3"/>
        <v>MEDIUM PRICE</v>
      </c>
    </row>
    <row r="8" spans="1:10" hidden="1" x14ac:dyDescent="0.35">
      <c r="A8" t="s">
        <v>269</v>
      </c>
      <c r="B8" s="11">
        <v>850</v>
      </c>
      <c r="C8" s="11">
        <v>1700</v>
      </c>
      <c r="D8" s="11">
        <f t="shared" si="0"/>
        <v>850</v>
      </c>
      <c r="E8" s="12">
        <v>0.5</v>
      </c>
      <c r="F8" s="12" t="str">
        <f t="shared" si="1"/>
        <v>HIGH DISCOUNT</v>
      </c>
      <c r="G8" s="10"/>
      <c r="H8" s="13"/>
      <c r="I8" s="10" t="str">
        <f t="shared" si="2"/>
        <v>NOT PROVIDED</v>
      </c>
      <c r="J8" s="10" t="str">
        <f t="shared" si="3"/>
        <v>LOW PRICE</v>
      </c>
    </row>
    <row r="9" spans="1:10" x14ac:dyDescent="0.35">
      <c r="A9" t="s">
        <v>227</v>
      </c>
      <c r="B9" s="11">
        <v>968</v>
      </c>
      <c r="C9" s="11">
        <v>1814</v>
      </c>
      <c r="D9" s="11">
        <f t="shared" si="0"/>
        <v>846</v>
      </c>
      <c r="E9" s="12">
        <v>0.47</v>
      </c>
      <c r="F9" s="12" t="str">
        <f t="shared" si="1"/>
        <v>HIGH DISCOUNT</v>
      </c>
      <c r="G9" s="10">
        <v>6</v>
      </c>
      <c r="H9" s="13">
        <v>2.2000000000000002</v>
      </c>
      <c r="I9" s="10" t="str">
        <f t="shared" si="2"/>
        <v>POOR</v>
      </c>
      <c r="J9" s="10" t="str">
        <f t="shared" si="3"/>
        <v>LOW PRICE</v>
      </c>
    </row>
    <row r="10" spans="1:10" hidden="1" x14ac:dyDescent="0.35">
      <c r="A10" t="s">
        <v>314</v>
      </c>
      <c r="B10" s="11">
        <v>1768</v>
      </c>
      <c r="C10" s="11">
        <v>1799</v>
      </c>
      <c r="D10" s="11">
        <f t="shared" si="0"/>
        <v>31</v>
      </c>
      <c r="E10" s="12">
        <v>0.02</v>
      </c>
      <c r="F10" s="12" t="str">
        <f t="shared" si="1"/>
        <v>LOW DISCOUNT</v>
      </c>
      <c r="G10" s="10"/>
      <c r="H10" s="13"/>
      <c r="I10" s="10" t="str">
        <f t="shared" si="2"/>
        <v>NOT PROVIDED</v>
      </c>
      <c r="J10" s="10" t="str">
        <f t="shared" si="3"/>
        <v>MEDIUM PRICE</v>
      </c>
    </row>
    <row r="11" spans="1:10" hidden="1" x14ac:dyDescent="0.35">
      <c r="A11" t="s">
        <v>170</v>
      </c>
      <c r="B11" s="11">
        <v>499</v>
      </c>
      <c r="C11" s="11">
        <v>900</v>
      </c>
      <c r="D11" s="11">
        <f t="shared" si="0"/>
        <v>401</v>
      </c>
      <c r="E11" s="12">
        <v>0.45</v>
      </c>
      <c r="F11" s="12" t="str">
        <f t="shared" si="1"/>
        <v>HIGH DISCOUNT</v>
      </c>
      <c r="G11" s="10"/>
      <c r="H11" s="13"/>
      <c r="I11" s="10" t="str">
        <f t="shared" si="2"/>
        <v>NOT PROVIDED</v>
      </c>
      <c r="J11" s="10" t="str">
        <f t="shared" si="3"/>
        <v>LOW PRICE</v>
      </c>
    </row>
    <row r="12" spans="1:10" hidden="1" x14ac:dyDescent="0.35">
      <c r="A12" t="s">
        <v>170</v>
      </c>
      <c r="B12" s="11">
        <v>399</v>
      </c>
      <c r="C12" s="11">
        <v>896</v>
      </c>
      <c r="D12" s="11">
        <f t="shared" si="0"/>
        <v>497</v>
      </c>
      <c r="E12" s="12">
        <v>0.55000000000000004</v>
      </c>
      <c r="F12" s="12" t="str">
        <f t="shared" si="1"/>
        <v>HIGH DISCOUNT</v>
      </c>
      <c r="G12" s="10"/>
      <c r="H12" s="13"/>
      <c r="I12" s="10" t="str">
        <f t="shared" si="2"/>
        <v>NOT PROVIDED</v>
      </c>
      <c r="J12" s="10" t="str">
        <f t="shared" si="3"/>
        <v>LOW PRICE</v>
      </c>
    </row>
    <row r="13" spans="1:10" hidden="1" x14ac:dyDescent="0.35">
      <c r="A13" t="s">
        <v>312</v>
      </c>
      <c r="B13" s="11">
        <v>1658</v>
      </c>
      <c r="C13" s="11">
        <v>1699</v>
      </c>
      <c r="D13" s="11">
        <f t="shared" si="0"/>
        <v>41</v>
      </c>
      <c r="E13" s="12">
        <v>0.02</v>
      </c>
      <c r="F13" s="12" t="str">
        <f t="shared" si="1"/>
        <v>LOW DISCOUNT</v>
      </c>
      <c r="G13" s="10"/>
      <c r="H13" s="13"/>
      <c r="I13" s="10" t="str">
        <f t="shared" si="2"/>
        <v>NOT PROVIDED</v>
      </c>
      <c r="J13" s="10" t="str">
        <f t="shared" si="3"/>
        <v>MEDIUM PRICE</v>
      </c>
    </row>
    <row r="14" spans="1:10" hidden="1" x14ac:dyDescent="0.35">
      <c r="A14" t="s">
        <v>140</v>
      </c>
      <c r="B14" s="11">
        <v>2132</v>
      </c>
      <c r="C14" s="11">
        <v>2169</v>
      </c>
      <c r="D14" s="11">
        <f t="shared" si="0"/>
        <v>37</v>
      </c>
      <c r="E14" s="12">
        <v>0.02</v>
      </c>
      <c r="F14" s="12" t="str">
        <f t="shared" si="1"/>
        <v>LOW DISCOUNT</v>
      </c>
      <c r="G14" s="10"/>
      <c r="H14" s="13"/>
      <c r="I14" s="10" t="str">
        <f t="shared" si="2"/>
        <v>NOT PROVIDED</v>
      </c>
      <c r="J14" s="10" t="str">
        <f t="shared" si="3"/>
        <v>HIGH PRICE</v>
      </c>
    </row>
    <row r="15" spans="1:10" hidden="1" x14ac:dyDescent="0.35">
      <c r="A15" t="s">
        <v>274</v>
      </c>
      <c r="B15" s="11">
        <v>105</v>
      </c>
      <c r="C15" s="11">
        <v>200</v>
      </c>
      <c r="D15" s="11">
        <f t="shared" si="0"/>
        <v>95</v>
      </c>
      <c r="E15" s="12">
        <v>0.48</v>
      </c>
      <c r="F15" s="12" t="str">
        <f t="shared" si="1"/>
        <v>HIGH DISCOUNT</v>
      </c>
      <c r="G15" s="10"/>
      <c r="H15" s="13"/>
      <c r="I15" s="10" t="str">
        <f t="shared" si="2"/>
        <v>NOT PROVIDED</v>
      </c>
      <c r="J15" s="10" t="str">
        <f t="shared" si="3"/>
        <v>LOW PRICE</v>
      </c>
    </row>
    <row r="16" spans="1:10" x14ac:dyDescent="0.35">
      <c r="A16" t="s">
        <v>221</v>
      </c>
      <c r="B16" s="11">
        <v>345</v>
      </c>
      <c r="C16" s="11">
        <v>602</v>
      </c>
      <c r="D16" s="11">
        <f t="shared" si="0"/>
        <v>257</v>
      </c>
      <c r="E16" s="12">
        <v>0.43</v>
      </c>
      <c r="F16" s="12" t="str">
        <f t="shared" si="1"/>
        <v>HIGH DISCOUNT</v>
      </c>
      <c r="G16" s="10">
        <v>6</v>
      </c>
      <c r="H16" s="13">
        <v>2.2999999999999998</v>
      </c>
      <c r="I16" s="10" t="str">
        <f t="shared" si="2"/>
        <v>POOR</v>
      </c>
      <c r="J16" s="10" t="str">
        <f t="shared" si="3"/>
        <v>LOW PRICE</v>
      </c>
    </row>
    <row r="17" spans="1:10" hidden="1" x14ac:dyDescent="0.35">
      <c r="A17" t="s">
        <v>272</v>
      </c>
      <c r="B17" s="11">
        <v>1300</v>
      </c>
      <c r="C17" s="11">
        <v>2500</v>
      </c>
      <c r="D17" s="11">
        <f t="shared" si="0"/>
        <v>1200</v>
      </c>
      <c r="E17" s="12">
        <v>0.48</v>
      </c>
      <c r="F17" s="12" t="str">
        <f t="shared" si="1"/>
        <v>HIGH DISCOUNT</v>
      </c>
      <c r="G17" s="10"/>
      <c r="H17" s="13"/>
      <c r="I17" s="10" t="str">
        <f t="shared" si="2"/>
        <v>NOT PROVIDED</v>
      </c>
      <c r="J17" s="10" t="str">
        <f t="shared" si="3"/>
        <v>MEDIUM PRICE</v>
      </c>
    </row>
    <row r="18" spans="1:10" x14ac:dyDescent="0.35">
      <c r="A18" t="s">
        <v>209</v>
      </c>
      <c r="B18" s="11">
        <v>1000</v>
      </c>
      <c r="C18" s="11">
        <v>2000</v>
      </c>
      <c r="D18" s="11">
        <f t="shared" si="0"/>
        <v>1000</v>
      </c>
      <c r="E18" s="12">
        <v>0.5</v>
      </c>
      <c r="F18" s="12" t="str">
        <f t="shared" si="1"/>
        <v>HIGH DISCOUNT</v>
      </c>
      <c r="G18" s="10">
        <v>7</v>
      </c>
      <c r="H18" s="13">
        <v>2.2999999999999998</v>
      </c>
      <c r="I18" s="10" t="str">
        <f t="shared" si="2"/>
        <v>POOR</v>
      </c>
      <c r="J18" s="10" t="str">
        <f t="shared" si="3"/>
        <v>MEDIUM PRICE</v>
      </c>
    </row>
    <row r="19" spans="1:10" hidden="1" x14ac:dyDescent="0.35">
      <c r="A19" t="s">
        <v>282</v>
      </c>
      <c r="B19" s="11">
        <v>1462</v>
      </c>
      <c r="C19" s="11">
        <v>1499</v>
      </c>
      <c r="D19" s="11">
        <f t="shared" si="0"/>
        <v>37</v>
      </c>
      <c r="E19" s="12">
        <v>0.02</v>
      </c>
      <c r="F19" s="12" t="str">
        <f t="shared" si="1"/>
        <v>LOW DISCOUNT</v>
      </c>
      <c r="G19" s="10"/>
      <c r="H19" s="13"/>
      <c r="I19" s="10" t="str">
        <f t="shared" si="2"/>
        <v>NOT PROVIDED</v>
      </c>
      <c r="J19" s="10" t="str">
        <f t="shared" si="3"/>
        <v>MEDIUM PRICE</v>
      </c>
    </row>
    <row r="20" spans="1:10" x14ac:dyDescent="0.35">
      <c r="A20" t="s">
        <v>182</v>
      </c>
      <c r="B20" s="11">
        <v>2170</v>
      </c>
      <c r="C20" s="11">
        <v>2500</v>
      </c>
      <c r="D20" s="11">
        <f t="shared" si="0"/>
        <v>330</v>
      </c>
      <c r="E20" s="12">
        <v>0.13</v>
      </c>
      <c r="F20" s="12" t="str">
        <f t="shared" si="1"/>
        <v>LOW DISCOUNT</v>
      </c>
      <c r="G20" s="10">
        <v>6</v>
      </c>
      <c r="H20" s="13">
        <v>2.5</v>
      </c>
      <c r="I20" s="10" t="str">
        <f t="shared" si="2"/>
        <v>POOR</v>
      </c>
      <c r="J20" s="10" t="str">
        <f t="shared" si="3"/>
        <v>HIGH PRICE</v>
      </c>
    </row>
    <row r="21" spans="1:10" x14ac:dyDescent="0.35">
      <c r="A21" t="s">
        <v>215</v>
      </c>
      <c r="B21" s="11">
        <v>382</v>
      </c>
      <c r="C21" s="11">
        <v>700</v>
      </c>
      <c r="D21" s="11">
        <f t="shared" si="0"/>
        <v>318</v>
      </c>
      <c r="E21" s="12">
        <v>0.45</v>
      </c>
      <c r="F21" s="12" t="str">
        <f t="shared" si="1"/>
        <v>HIGH DISCOUNT</v>
      </c>
      <c r="G21" s="10">
        <v>17</v>
      </c>
      <c r="H21" s="13">
        <v>2.6</v>
      </c>
      <c r="I21" s="10" t="str">
        <f t="shared" si="2"/>
        <v>POOR</v>
      </c>
      <c r="J21" s="10" t="str">
        <f t="shared" si="3"/>
        <v>LOW PRICE</v>
      </c>
    </row>
    <row r="22" spans="1:10" hidden="1" x14ac:dyDescent="0.35">
      <c r="A22" t="s">
        <v>163</v>
      </c>
      <c r="B22" s="11">
        <v>299</v>
      </c>
      <c r="C22" s="11">
        <v>384</v>
      </c>
      <c r="D22" s="11">
        <f t="shared" si="0"/>
        <v>85</v>
      </c>
      <c r="E22" s="12">
        <v>0.22</v>
      </c>
      <c r="F22" s="12" t="str">
        <f t="shared" si="1"/>
        <v>MEDIUM DISCOUNT</v>
      </c>
      <c r="G22" s="10"/>
      <c r="H22" s="13"/>
      <c r="I22" s="10" t="str">
        <f t="shared" si="2"/>
        <v>NOT PROVIDED</v>
      </c>
      <c r="J22" s="10" t="str">
        <f t="shared" si="3"/>
        <v>LOW PRICE</v>
      </c>
    </row>
    <row r="23" spans="1:10" hidden="1" x14ac:dyDescent="0.35">
      <c r="A23" t="s">
        <v>160</v>
      </c>
      <c r="B23" s="11">
        <v>1660</v>
      </c>
      <c r="C23" s="11">
        <v>1699</v>
      </c>
      <c r="D23" s="11">
        <f t="shared" si="0"/>
        <v>39</v>
      </c>
      <c r="E23" s="12">
        <v>0.02</v>
      </c>
      <c r="F23" s="12" t="str">
        <f t="shared" si="1"/>
        <v>LOW DISCOUNT</v>
      </c>
      <c r="G23" s="10"/>
      <c r="H23" s="13"/>
      <c r="I23" s="10" t="str">
        <f t="shared" si="2"/>
        <v>NOT PROVIDED</v>
      </c>
      <c r="J23" s="10" t="str">
        <f t="shared" si="3"/>
        <v>MEDIUM PRICE</v>
      </c>
    </row>
    <row r="24" spans="1:10" x14ac:dyDescent="0.35">
      <c r="A24" t="s">
        <v>198</v>
      </c>
      <c r="B24" s="11">
        <v>325</v>
      </c>
      <c r="C24" s="11">
        <v>680</v>
      </c>
      <c r="D24" s="11">
        <f t="shared" si="0"/>
        <v>355</v>
      </c>
      <c r="E24" s="12">
        <v>0.52</v>
      </c>
      <c r="F24" s="12" t="str">
        <f t="shared" si="1"/>
        <v>HIGH DISCOUNT</v>
      </c>
      <c r="G24" s="10">
        <v>15</v>
      </c>
      <c r="H24" s="13">
        <v>2.7</v>
      </c>
      <c r="I24" s="10" t="str">
        <f t="shared" si="2"/>
        <v>POOR</v>
      </c>
      <c r="J24" s="10" t="str">
        <f t="shared" si="3"/>
        <v>LOW PRICE</v>
      </c>
    </row>
    <row r="25" spans="1:10" hidden="1" x14ac:dyDescent="0.35">
      <c r="A25" t="s">
        <v>261</v>
      </c>
      <c r="B25" s="11">
        <v>799</v>
      </c>
      <c r="C25" s="11">
        <v>900</v>
      </c>
      <c r="D25" s="11">
        <f t="shared" si="0"/>
        <v>101</v>
      </c>
      <c r="E25" s="12">
        <v>0.11</v>
      </c>
      <c r="F25" s="12" t="str">
        <f t="shared" si="1"/>
        <v>LOW DISCOUNT</v>
      </c>
      <c r="G25" s="10"/>
      <c r="H25" s="13"/>
      <c r="I25" s="10" t="str">
        <f t="shared" si="2"/>
        <v>NOT PROVIDED</v>
      </c>
      <c r="J25" s="10" t="str">
        <f t="shared" si="3"/>
        <v>LOW PRICE</v>
      </c>
    </row>
    <row r="26" spans="1:10" hidden="1" x14ac:dyDescent="0.35">
      <c r="A26" t="s">
        <v>256</v>
      </c>
      <c r="B26" s="11">
        <v>1466</v>
      </c>
      <c r="C26" s="11">
        <v>1699</v>
      </c>
      <c r="D26" s="11">
        <f t="shared" si="0"/>
        <v>233</v>
      </c>
      <c r="E26" s="12">
        <v>0.14000000000000001</v>
      </c>
      <c r="F26" s="12" t="str">
        <f t="shared" si="1"/>
        <v>LOW DISCOUNT</v>
      </c>
      <c r="G26" s="10"/>
      <c r="H26" s="13"/>
      <c r="I26" s="10" t="str">
        <f t="shared" si="2"/>
        <v>NOT PROVIDED</v>
      </c>
      <c r="J26" s="10" t="str">
        <f t="shared" si="3"/>
        <v>MEDIUM PRICE</v>
      </c>
    </row>
    <row r="27" spans="1:10" hidden="1" x14ac:dyDescent="0.35">
      <c r="A27" t="s">
        <v>194</v>
      </c>
      <c r="B27" s="11">
        <v>445</v>
      </c>
      <c r="C27" s="11">
        <v>873</v>
      </c>
      <c r="D27" s="11">
        <f t="shared" si="0"/>
        <v>428</v>
      </c>
      <c r="E27" s="12">
        <v>0.49</v>
      </c>
      <c r="F27" s="12" t="str">
        <f t="shared" si="1"/>
        <v>HIGH DISCOUNT</v>
      </c>
      <c r="G27" s="10">
        <v>69</v>
      </c>
      <c r="H27" s="13">
        <v>2.8</v>
      </c>
      <c r="I27" s="10" t="str">
        <f t="shared" si="2"/>
        <v>POOR</v>
      </c>
      <c r="J27" s="10" t="str">
        <f t="shared" si="3"/>
        <v>LOW PRICE</v>
      </c>
    </row>
    <row r="28" spans="1:10" hidden="1" x14ac:dyDescent="0.35">
      <c r="A28" t="s">
        <v>165</v>
      </c>
      <c r="B28" s="11">
        <v>1459</v>
      </c>
      <c r="C28" s="11">
        <v>1499</v>
      </c>
      <c r="D28" s="11">
        <f t="shared" si="0"/>
        <v>40</v>
      </c>
      <c r="E28" s="12">
        <v>0.03</v>
      </c>
      <c r="F28" s="12" t="str">
        <f t="shared" si="1"/>
        <v>LOW DISCOUNT</v>
      </c>
      <c r="G28" s="10"/>
      <c r="H28" s="13"/>
      <c r="I28" s="10" t="str">
        <f t="shared" si="2"/>
        <v>NOT PROVIDED</v>
      </c>
      <c r="J28" s="10" t="str">
        <f t="shared" si="3"/>
        <v>MEDIUM PRICE</v>
      </c>
    </row>
    <row r="29" spans="1:10" hidden="1" x14ac:dyDescent="0.35">
      <c r="A29" t="s">
        <v>99</v>
      </c>
      <c r="B29" s="11">
        <v>2200</v>
      </c>
      <c r="C29" s="11">
        <v>4080</v>
      </c>
      <c r="D29" s="11">
        <f t="shared" si="0"/>
        <v>1880</v>
      </c>
      <c r="E29" s="12">
        <v>0.46</v>
      </c>
      <c r="F29" s="12" t="str">
        <f t="shared" si="1"/>
        <v>HIGH DISCOUNT</v>
      </c>
      <c r="G29" s="10"/>
      <c r="H29" s="13"/>
      <c r="I29" s="10" t="str">
        <f t="shared" si="2"/>
        <v>NOT PROVIDED</v>
      </c>
      <c r="J29" s="10" t="str">
        <f t="shared" si="3"/>
        <v>HIGH PRICE</v>
      </c>
    </row>
    <row r="30" spans="1:10" hidden="1" x14ac:dyDescent="0.35">
      <c r="A30" t="s">
        <v>266</v>
      </c>
      <c r="B30" s="11">
        <v>630</v>
      </c>
      <c r="C30" s="11">
        <v>1100</v>
      </c>
      <c r="D30" s="11">
        <f t="shared" si="0"/>
        <v>470</v>
      </c>
      <c r="E30" s="12">
        <v>0.43</v>
      </c>
      <c r="F30" s="12" t="str">
        <f t="shared" si="1"/>
        <v>HIGH DISCOUNT</v>
      </c>
      <c r="G30" s="10"/>
      <c r="H30" s="13"/>
      <c r="I30" s="10" t="str">
        <f t="shared" si="2"/>
        <v>NOT PROVIDED</v>
      </c>
      <c r="J30" s="10" t="str">
        <f t="shared" si="3"/>
        <v>LOW PRICE</v>
      </c>
    </row>
    <row r="31" spans="1:10" hidden="1" x14ac:dyDescent="0.35">
      <c r="A31" t="s">
        <v>202</v>
      </c>
      <c r="B31" s="11">
        <v>1220</v>
      </c>
      <c r="C31" s="11">
        <v>1555</v>
      </c>
      <c r="D31" s="11">
        <f t="shared" si="0"/>
        <v>335</v>
      </c>
      <c r="E31" s="12">
        <v>0.22</v>
      </c>
      <c r="F31" s="12" t="str">
        <f t="shared" si="1"/>
        <v>MEDIUM DISCOUNT</v>
      </c>
      <c r="G31" s="10">
        <v>16</v>
      </c>
      <c r="H31" s="13">
        <v>2.9</v>
      </c>
      <c r="I31" s="10" t="str">
        <f t="shared" si="2"/>
        <v>POOR</v>
      </c>
      <c r="J31" s="10" t="str">
        <f t="shared" si="3"/>
        <v>MEDIUM PRICE</v>
      </c>
    </row>
    <row r="32" spans="1:10" hidden="1" x14ac:dyDescent="0.35">
      <c r="A32" t="s">
        <v>134</v>
      </c>
      <c r="B32" s="11">
        <v>238</v>
      </c>
      <c r="C32" s="11">
        <v>476</v>
      </c>
      <c r="D32" s="11">
        <f t="shared" si="0"/>
        <v>238</v>
      </c>
      <c r="E32" s="12">
        <v>0.5</v>
      </c>
      <c r="F32" s="12" t="str">
        <f t="shared" si="1"/>
        <v>HIGH DISCOUNT</v>
      </c>
      <c r="G32" s="10"/>
      <c r="H32" s="13"/>
      <c r="I32" s="10" t="str">
        <f t="shared" si="2"/>
        <v>NOT PROVIDED</v>
      </c>
      <c r="J32" s="10" t="str">
        <f t="shared" si="3"/>
        <v>LOW PRICE</v>
      </c>
    </row>
    <row r="33" spans="1:10" hidden="1" x14ac:dyDescent="0.35">
      <c r="A33" t="s">
        <v>287</v>
      </c>
      <c r="B33" s="11">
        <v>3546</v>
      </c>
      <c r="C33" s="11">
        <v>3699</v>
      </c>
      <c r="D33" s="11">
        <f t="shared" si="0"/>
        <v>153</v>
      </c>
      <c r="E33" s="12">
        <v>0.04</v>
      </c>
      <c r="F33" s="12" t="str">
        <f t="shared" si="1"/>
        <v>LOW DISCOUNT</v>
      </c>
      <c r="G33" s="10"/>
      <c r="H33" s="13"/>
      <c r="I33" s="10" t="str">
        <f t="shared" si="2"/>
        <v>NOT PROVIDED</v>
      </c>
      <c r="J33" s="10" t="str">
        <f t="shared" si="3"/>
        <v>HIGH PRICE</v>
      </c>
    </row>
    <row r="34" spans="1:10" hidden="1" x14ac:dyDescent="0.35">
      <c r="A34" t="s">
        <v>224</v>
      </c>
      <c r="B34" s="11">
        <v>509</v>
      </c>
      <c r="C34" s="11">
        <v>899</v>
      </c>
      <c r="D34" s="11">
        <f t="shared" ref="D34:D65" si="4">C34-B34</f>
        <v>390</v>
      </c>
      <c r="E34" s="12">
        <v>0.43</v>
      </c>
      <c r="F34" s="12" t="str">
        <f t="shared" ref="F34:F65" si="5">IF(E34&lt;20%,"LOW DISCOUNT",IF(E34&lt;40%,"MEDIUM DISCOUNT","HIGH DISCOUNT"))</f>
        <v>HIGH DISCOUNT</v>
      </c>
      <c r="G34" s="10">
        <v>5</v>
      </c>
      <c r="H34" s="13">
        <v>3</v>
      </c>
      <c r="I34" s="10" t="str">
        <f t="shared" ref="I34:I65" si="6">IF(ISBLANK(H34),"NOT PROVIDED",IF(H34&lt;3,"POOR",IF(H34&lt;4.5,"AVERAGE","EXCELLENT")))</f>
        <v>AVERAGE</v>
      </c>
      <c r="J34" s="10" t="str">
        <f t="shared" ref="J34:J65" si="7">IF(B34&lt;1000,"LOW PRICE",IF(B34&lt;2000,"MEDIUM PRICE","HIGH PRICE"))</f>
        <v>LOW PRICE</v>
      </c>
    </row>
    <row r="35" spans="1:10" hidden="1" x14ac:dyDescent="0.35">
      <c r="A35" t="s">
        <v>186</v>
      </c>
      <c r="B35" s="11">
        <v>458</v>
      </c>
      <c r="C35" s="11">
        <v>986</v>
      </c>
      <c r="D35" s="11">
        <f t="shared" si="4"/>
        <v>528</v>
      </c>
      <c r="E35" s="12">
        <v>0.54</v>
      </c>
      <c r="F35" s="12" t="str">
        <f t="shared" si="5"/>
        <v>HIGH DISCOUNT</v>
      </c>
      <c r="G35" s="10">
        <v>10</v>
      </c>
      <c r="H35" s="13">
        <v>3</v>
      </c>
      <c r="I35" s="10" t="str">
        <f t="shared" si="6"/>
        <v>AVERAGE</v>
      </c>
      <c r="J35" s="10" t="str">
        <f t="shared" si="7"/>
        <v>LOW PRICE</v>
      </c>
    </row>
    <row r="36" spans="1:10" hidden="1" x14ac:dyDescent="0.35">
      <c r="A36" t="s">
        <v>243</v>
      </c>
      <c r="B36" s="11">
        <v>1189</v>
      </c>
      <c r="C36" s="11">
        <v>2199</v>
      </c>
      <c r="D36" s="11">
        <f t="shared" si="4"/>
        <v>1010</v>
      </c>
      <c r="E36" s="12">
        <v>0.46</v>
      </c>
      <c r="F36" s="12" t="str">
        <f t="shared" si="5"/>
        <v>HIGH DISCOUNT</v>
      </c>
      <c r="G36" s="10">
        <v>1</v>
      </c>
      <c r="H36" s="13">
        <v>3</v>
      </c>
      <c r="I36" s="10" t="str">
        <f t="shared" si="6"/>
        <v>AVERAGE</v>
      </c>
      <c r="J36" s="10" t="str">
        <f t="shared" si="7"/>
        <v>MEDIUM PRICE</v>
      </c>
    </row>
    <row r="37" spans="1:10" hidden="1" x14ac:dyDescent="0.35">
      <c r="A37" t="s">
        <v>307</v>
      </c>
      <c r="B37" s="11">
        <v>1150</v>
      </c>
      <c r="C37" s="11">
        <v>1737</v>
      </c>
      <c r="D37" s="11">
        <f t="shared" si="4"/>
        <v>587</v>
      </c>
      <c r="E37" s="12">
        <v>0.34</v>
      </c>
      <c r="F37" s="12" t="str">
        <f t="shared" si="5"/>
        <v>MEDIUM DISCOUNT</v>
      </c>
      <c r="G37" s="10"/>
      <c r="H37" s="13"/>
      <c r="I37" s="10" t="str">
        <f t="shared" si="6"/>
        <v>NOT PROVIDED</v>
      </c>
      <c r="J37" s="10" t="str">
        <f t="shared" si="7"/>
        <v>MEDIUM PRICE</v>
      </c>
    </row>
    <row r="38" spans="1:10" hidden="1" x14ac:dyDescent="0.35">
      <c r="A38" t="s">
        <v>218</v>
      </c>
      <c r="B38" s="11">
        <v>2300</v>
      </c>
      <c r="C38" s="11">
        <v>3240</v>
      </c>
      <c r="D38" s="11">
        <f t="shared" si="4"/>
        <v>940</v>
      </c>
      <c r="E38" s="12">
        <v>0.28999999999999998</v>
      </c>
      <c r="F38" s="12" t="str">
        <f t="shared" si="5"/>
        <v>MEDIUM DISCOUNT</v>
      </c>
      <c r="G38" s="10">
        <v>5</v>
      </c>
      <c r="H38" s="13">
        <v>3</v>
      </c>
      <c r="I38" s="10" t="str">
        <f t="shared" si="6"/>
        <v>AVERAGE</v>
      </c>
      <c r="J38" s="10" t="str">
        <f t="shared" si="7"/>
        <v>HIGH PRICE</v>
      </c>
    </row>
    <row r="39" spans="1:10" hidden="1" x14ac:dyDescent="0.35">
      <c r="A39" t="s">
        <v>212</v>
      </c>
      <c r="B39" s="11">
        <v>3750</v>
      </c>
      <c r="C39" s="11">
        <v>6143</v>
      </c>
      <c r="D39" s="11">
        <f t="shared" si="4"/>
        <v>2393</v>
      </c>
      <c r="E39" s="12">
        <v>0.39</v>
      </c>
      <c r="F39" s="12" t="str">
        <f t="shared" si="5"/>
        <v>MEDIUM DISCOUNT</v>
      </c>
      <c r="G39" s="10">
        <v>5</v>
      </c>
      <c r="H39" s="13">
        <v>3</v>
      </c>
      <c r="I39" s="10" t="str">
        <f t="shared" si="6"/>
        <v>AVERAGE</v>
      </c>
      <c r="J39" s="10" t="str">
        <f t="shared" si="7"/>
        <v>HIGH PRICE</v>
      </c>
    </row>
    <row r="40" spans="1:10" hidden="1" x14ac:dyDescent="0.35">
      <c r="A40" t="s">
        <v>128</v>
      </c>
      <c r="B40" s="11">
        <v>2750</v>
      </c>
      <c r="C40" s="11">
        <v>4471</v>
      </c>
      <c r="D40" s="11">
        <f t="shared" si="4"/>
        <v>1721</v>
      </c>
      <c r="E40" s="12">
        <v>0.38</v>
      </c>
      <c r="F40" s="12" t="str">
        <f t="shared" si="5"/>
        <v>MEDIUM DISCOUNT</v>
      </c>
      <c r="G40" s="10"/>
      <c r="H40" s="13"/>
      <c r="I40" s="10" t="str">
        <f t="shared" si="6"/>
        <v>NOT PROVIDED</v>
      </c>
      <c r="J40" s="10" t="str">
        <f t="shared" si="7"/>
        <v>HIGH PRICE</v>
      </c>
    </row>
    <row r="41" spans="1:10" hidden="1" x14ac:dyDescent="0.35">
      <c r="A41" t="s">
        <v>71</v>
      </c>
      <c r="B41" s="11">
        <v>38</v>
      </c>
      <c r="C41" s="11">
        <v>80</v>
      </c>
      <c r="D41" s="11">
        <f t="shared" si="4"/>
        <v>42</v>
      </c>
      <c r="E41" s="12">
        <v>0.53</v>
      </c>
      <c r="F41" s="12" t="str">
        <f t="shared" si="5"/>
        <v>HIGH DISCOUNT</v>
      </c>
      <c r="G41" s="10">
        <v>13</v>
      </c>
      <c r="H41" s="13">
        <v>3.3</v>
      </c>
      <c r="I41" s="10" t="str">
        <f t="shared" si="6"/>
        <v>AVERAGE</v>
      </c>
      <c r="J41" s="10" t="str">
        <f t="shared" si="7"/>
        <v>LOW PRICE</v>
      </c>
    </row>
    <row r="42" spans="1:10" hidden="1" x14ac:dyDescent="0.35">
      <c r="A42" t="s">
        <v>92</v>
      </c>
      <c r="B42" s="11">
        <v>2880</v>
      </c>
      <c r="C42" s="11">
        <v>3520</v>
      </c>
      <c r="D42" s="11">
        <f t="shared" si="4"/>
        <v>640</v>
      </c>
      <c r="E42" s="12">
        <v>0.18</v>
      </c>
      <c r="F42" s="12" t="str">
        <f t="shared" si="5"/>
        <v>LOW DISCOUNT</v>
      </c>
      <c r="G42" s="10">
        <v>12</v>
      </c>
      <c r="H42" s="13">
        <v>3.8</v>
      </c>
      <c r="I42" s="10" t="str">
        <f t="shared" si="6"/>
        <v>AVERAGE</v>
      </c>
      <c r="J42" s="10" t="str">
        <f t="shared" si="7"/>
        <v>HIGH PRICE</v>
      </c>
    </row>
    <row r="43" spans="1:10" hidden="1" x14ac:dyDescent="0.35">
      <c r="A43" t="s">
        <v>38</v>
      </c>
      <c r="B43" s="11">
        <v>1600</v>
      </c>
      <c r="C43" s="11">
        <v>2929</v>
      </c>
      <c r="D43" s="11">
        <f t="shared" si="4"/>
        <v>1329</v>
      </c>
      <c r="E43" s="12">
        <v>0.45</v>
      </c>
      <c r="F43" s="12" t="str">
        <f t="shared" si="5"/>
        <v>HIGH DISCOUNT</v>
      </c>
      <c r="G43" s="10">
        <v>5</v>
      </c>
      <c r="H43" s="13">
        <v>3.8</v>
      </c>
      <c r="I43" s="10" t="str">
        <f t="shared" si="6"/>
        <v>AVERAGE</v>
      </c>
      <c r="J43" s="10" t="str">
        <f t="shared" si="7"/>
        <v>MEDIUM PRICE</v>
      </c>
    </row>
    <row r="44" spans="1:10" hidden="1" x14ac:dyDescent="0.35">
      <c r="A44" t="s">
        <v>95</v>
      </c>
      <c r="B44" s="11">
        <v>1350</v>
      </c>
      <c r="C44" s="11">
        <v>1990</v>
      </c>
      <c r="D44" s="11">
        <f t="shared" si="4"/>
        <v>640</v>
      </c>
      <c r="E44" s="12">
        <v>0.32</v>
      </c>
      <c r="F44" s="12" t="str">
        <f t="shared" si="5"/>
        <v>MEDIUM DISCOUNT</v>
      </c>
      <c r="G44" s="10">
        <v>13</v>
      </c>
      <c r="H44" s="13">
        <v>3.8</v>
      </c>
      <c r="I44" s="10" t="str">
        <f t="shared" si="6"/>
        <v>AVERAGE</v>
      </c>
      <c r="J44" s="10" t="str">
        <f t="shared" si="7"/>
        <v>MEDIUM PRICE</v>
      </c>
    </row>
    <row r="45" spans="1:10" hidden="1" x14ac:dyDescent="0.35">
      <c r="A45" t="s">
        <v>78</v>
      </c>
      <c r="B45" s="11">
        <v>880</v>
      </c>
      <c r="C45" s="11">
        <v>1350</v>
      </c>
      <c r="D45" s="11">
        <f t="shared" si="4"/>
        <v>470</v>
      </c>
      <c r="E45" s="12">
        <v>0.35</v>
      </c>
      <c r="F45" s="12" t="str">
        <f t="shared" si="5"/>
        <v>MEDIUM DISCOUNT</v>
      </c>
      <c r="G45" s="10">
        <v>6</v>
      </c>
      <c r="H45" s="13">
        <v>4</v>
      </c>
      <c r="I45" s="10" t="str">
        <f t="shared" si="6"/>
        <v>AVERAGE</v>
      </c>
      <c r="J45" s="10" t="str">
        <f t="shared" si="7"/>
        <v>LOW PRICE</v>
      </c>
    </row>
    <row r="46" spans="1:10" hidden="1" x14ac:dyDescent="0.35">
      <c r="A46" t="s">
        <v>253</v>
      </c>
      <c r="B46" s="11">
        <v>330</v>
      </c>
      <c r="C46" s="11">
        <v>647</v>
      </c>
      <c r="D46" s="11">
        <f t="shared" si="4"/>
        <v>317</v>
      </c>
      <c r="E46" s="12">
        <v>0.49</v>
      </c>
      <c r="F46" s="12" t="str">
        <f t="shared" si="5"/>
        <v>HIGH DISCOUNT</v>
      </c>
      <c r="G46" s="10">
        <v>1</v>
      </c>
      <c r="H46" s="13">
        <v>4</v>
      </c>
      <c r="I46" s="10" t="str">
        <f t="shared" si="6"/>
        <v>AVERAGE</v>
      </c>
      <c r="J46" s="10" t="str">
        <f t="shared" si="7"/>
        <v>LOW PRICE</v>
      </c>
    </row>
    <row r="47" spans="1:10" hidden="1" x14ac:dyDescent="0.35">
      <c r="A47" t="s">
        <v>33</v>
      </c>
      <c r="B47" s="11">
        <v>988</v>
      </c>
      <c r="C47" s="11">
        <v>1580</v>
      </c>
      <c r="D47" s="11">
        <f t="shared" si="4"/>
        <v>592</v>
      </c>
      <c r="E47" s="12">
        <v>0.37</v>
      </c>
      <c r="F47" s="12" t="str">
        <f t="shared" si="5"/>
        <v>MEDIUM DISCOUNT</v>
      </c>
      <c r="G47" s="10">
        <v>2</v>
      </c>
      <c r="H47" s="13">
        <v>4</v>
      </c>
      <c r="I47" s="10" t="str">
        <f t="shared" si="6"/>
        <v>AVERAGE</v>
      </c>
      <c r="J47" s="10" t="str">
        <f t="shared" si="7"/>
        <v>LOW PRICE</v>
      </c>
    </row>
    <row r="48" spans="1:10" hidden="1" x14ac:dyDescent="0.35">
      <c r="A48" t="s">
        <v>26</v>
      </c>
      <c r="B48" s="11">
        <v>2999</v>
      </c>
      <c r="C48" s="11">
        <v>3290</v>
      </c>
      <c r="D48" s="11">
        <f t="shared" si="4"/>
        <v>291</v>
      </c>
      <c r="E48" s="12">
        <v>0.09</v>
      </c>
      <c r="F48" s="12" t="str">
        <f t="shared" si="5"/>
        <v>LOW DISCOUNT</v>
      </c>
      <c r="G48" s="10">
        <v>15</v>
      </c>
      <c r="H48" s="13">
        <v>4</v>
      </c>
      <c r="I48" s="10" t="str">
        <f t="shared" si="6"/>
        <v>AVERAGE</v>
      </c>
      <c r="J48" s="10" t="str">
        <f t="shared" si="7"/>
        <v>HIGH PRICE</v>
      </c>
    </row>
    <row r="49" spans="1:10" hidden="1" x14ac:dyDescent="0.35">
      <c r="A49" t="s">
        <v>333</v>
      </c>
      <c r="B49" s="11">
        <v>1980</v>
      </c>
      <c r="C49" s="11">
        <v>3200</v>
      </c>
      <c r="D49" s="11">
        <f t="shared" si="4"/>
        <v>1220</v>
      </c>
      <c r="E49" s="12">
        <v>0.38</v>
      </c>
      <c r="F49" s="12" t="str">
        <f t="shared" si="5"/>
        <v>MEDIUM DISCOUNT</v>
      </c>
      <c r="G49" s="10"/>
      <c r="H49" s="13"/>
      <c r="I49" s="10" t="str">
        <f t="shared" si="6"/>
        <v>NOT PROVIDED</v>
      </c>
      <c r="J49" s="10" t="str">
        <f t="shared" si="7"/>
        <v>MEDIUM PRICE</v>
      </c>
    </row>
    <row r="50" spans="1:10" hidden="1" x14ac:dyDescent="0.35">
      <c r="A50" t="s">
        <v>10</v>
      </c>
      <c r="B50" s="11">
        <v>527</v>
      </c>
      <c r="C50" s="11">
        <v>999</v>
      </c>
      <c r="D50" s="11">
        <f t="shared" si="4"/>
        <v>472</v>
      </c>
      <c r="E50" s="12">
        <v>0.47</v>
      </c>
      <c r="F50" s="12" t="str">
        <f t="shared" si="5"/>
        <v>HIGH DISCOUNT</v>
      </c>
      <c r="G50" s="10">
        <v>14</v>
      </c>
      <c r="H50" s="13">
        <v>4.0999999999999996</v>
      </c>
      <c r="I50" s="10" t="str">
        <f t="shared" si="6"/>
        <v>AVERAGE</v>
      </c>
      <c r="J50" s="10" t="str">
        <f t="shared" si="7"/>
        <v>LOW PRICE</v>
      </c>
    </row>
    <row r="51" spans="1:10" hidden="1" x14ac:dyDescent="0.35">
      <c r="A51" t="s">
        <v>42</v>
      </c>
      <c r="B51" s="11">
        <v>799</v>
      </c>
      <c r="C51" s="11">
        <v>999</v>
      </c>
      <c r="D51" s="11">
        <f t="shared" si="4"/>
        <v>200</v>
      </c>
      <c r="E51" s="12">
        <v>0.2</v>
      </c>
      <c r="F51" s="12" t="str">
        <f t="shared" si="5"/>
        <v>MEDIUM DISCOUNT</v>
      </c>
      <c r="G51" s="10">
        <v>12</v>
      </c>
      <c r="H51" s="13">
        <v>4.0999999999999996</v>
      </c>
      <c r="I51" s="10" t="str">
        <f t="shared" si="6"/>
        <v>AVERAGE</v>
      </c>
      <c r="J51" s="10" t="str">
        <f t="shared" si="7"/>
        <v>LOW PRICE</v>
      </c>
    </row>
    <row r="52" spans="1:10" hidden="1" x14ac:dyDescent="0.35">
      <c r="A52" t="s">
        <v>97</v>
      </c>
      <c r="B52" s="11">
        <v>1758</v>
      </c>
      <c r="C52" s="11">
        <v>2499</v>
      </c>
      <c r="D52" s="11">
        <f t="shared" si="4"/>
        <v>741</v>
      </c>
      <c r="E52" s="12">
        <v>0.3</v>
      </c>
      <c r="F52" s="12" t="str">
        <f t="shared" si="5"/>
        <v>MEDIUM DISCOUNT</v>
      </c>
      <c r="G52" s="10">
        <v>20</v>
      </c>
      <c r="H52" s="13">
        <v>4.0999999999999996</v>
      </c>
      <c r="I52" s="10" t="str">
        <f t="shared" si="6"/>
        <v>AVERAGE</v>
      </c>
      <c r="J52" s="10" t="str">
        <f t="shared" si="7"/>
        <v>MEDIUM PRICE</v>
      </c>
    </row>
    <row r="53" spans="1:10" hidden="1" x14ac:dyDescent="0.35">
      <c r="A53" t="s">
        <v>53</v>
      </c>
      <c r="B53" s="11">
        <v>1680</v>
      </c>
      <c r="C53" s="11">
        <v>2499</v>
      </c>
      <c r="D53" s="11">
        <f t="shared" si="4"/>
        <v>819</v>
      </c>
      <c r="E53" s="12">
        <v>0.33</v>
      </c>
      <c r="F53" s="12" t="str">
        <f t="shared" si="5"/>
        <v>MEDIUM DISCOUNT</v>
      </c>
      <c r="G53" s="10">
        <v>9</v>
      </c>
      <c r="H53" s="13">
        <v>4.2</v>
      </c>
      <c r="I53" s="10" t="str">
        <f t="shared" si="6"/>
        <v>AVERAGE</v>
      </c>
      <c r="J53" s="10" t="str">
        <f t="shared" si="7"/>
        <v>MEDIUM PRICE</v>
      </c>
    </row>
    <row r="54" spans="1:10" hidden="1" x14ac:dyDescent="0.35">
      <c r="A54" t="s">
        <v>122</v>
      </c>
      <c r="B54" s="11">
        <v>389</v>
      </c>
      <c r="C54" s="11">
        <v>656</v>
      </c>
      <c r="D54" s="11">
        <f t="shared" si="4"/>
        <v>267</v>
      </c>
      <c r="E54" s="12">
        <v>0.41</v>
      </c>
      <c r="F54" s="12" t="str">
        <f t="shared" si="5"/>
        <v>HIGH DISCOUNT</v>
      </c>
      <c r="G54" s="10">
        <v>36</v>
      </c>
      <c r="H54" s="13">
        <v>4.3</v>
      </c>
      <c r="I54" s="10" t="str">
        <f t="shared" si="6"/>
        <v>AVERAGE</v>
      </c>
      <c r="J54" s="10" t="str">
        <f t="shared" si="7"/>
        <v>LOW PRICE</v>
      </c>
    </row>
    <row r="55" spans="1:10" hidden="1" x14ac:dyDescent="0.35">
      <c r="A55" t="s">
        <v>108</v>
      </c>
      <c r="B55" s="11">
        <v>1820</v>
      </c>
      <c r="C55" s="11">
        <v>3490</v>
      </c>
      <c r="D55" s="11">
        <f t="shared" si="4"/>
        <v>1670</v>
      </c>
      <c r="E55" s="12">
        <v>0.48</v>
      </c>
      <c r="F55" s="12" t="str">
        <f t="shared" si="5"/>
        <v>HIGH DISCOUNT</v>
      </c>
      <c r="G55" s="10">
        <v>9</v>
      </c>
      <c r="H55" s="13">
        <v>4.3</v>
      </c>
      <c r="I55" s="10" t="str">
        <f t="shared" si="6"/>
        <v>AVERAGE</v>
      </c>
      <c r="J55" s="10" t="str">
        <f t="shared" si="7"/>
        <v>MEDIUM PRICE</v>
      </c>
    </row>
    <row r="56" spans="1:10" hidden="1" x14ac:dyDescent="0.35">
      <c r="A56" t="s">
        <v>85</v>
      </c>
      <c r="B56" s="11">
        <v>2048</v>
      </c>
      <c r="C56" s="11">
        <v>4500</v>
      </c>
      <c r="D56" s="11">
        <f t="shared" si="4"/>
        <v>2452</v>
      </c>
      <c r="E56" s="12">
        <v>0.54</v>
      </c>
      <c r="F56" s="12" t="str">
        <f t="shared" si="5"/>
        <v>HIGH DISCOUNT</v>
      </c>
      <c r="G56" s="10">
        <v>7</v>
      </c>
      <c r="H56" s="13">
        <v>4.3</v>
      </c>
      <c r="I56" s="10" t="str">
        <f t="shared" si="6"/>
        <v>AVERAGE</v>
      </c>
      <c r="J56" s="10" t="str">
        <f t="shared" si="7"/>
        <v>HIGH PRICE</v>
      </c>
    </row>
    <row r="57" spans="1:10" hidden="1" x14ac:dyDescent="0.35">
      <c r="A57" t="s">
        <v>168</v>
      </c>
      <c r="B57" s="11">
        <v>799</v>
      </c>
      <c r="C57" s="11">
        <v>1343</v>
      </c>
      <c r="D57" s="11">
        <f t="shared" si="4"/>
        <v>544</v>
      </c>
      <c r="E57" s="12">
        <v>0.41</v>
      </c>
      <c r="F57" s="12" t="str">
        <f t="shared" si="5"/>
        <v>HIGH DISCOUNT</v>
      </c>
      <c r="G57" s="10"/>
      <c r="H57" s="13"/>
      <c r="I57" s="10" t="str">
        <f t="shared" si="6"/>
        <v>NOT PROVIDED</v>
      </c>
      <c r="J57" s="10" t="str">
        <f t="shared" si="7"/>
        <v>LOW PRICE</v>
      </c>
    </row>
    <row r="58" spans="1:10" hidden="1" x14ac:dyDescent="0.35">
      <c r="A58" t="s">
        <v>237</v>
      </c>
      <c r="B58" s="11">
        <v>1732</v>
      </c>
      <c r="C58" s="11">
        <v>1799</v>
      </c>
      <c r="D58" s="11">
        <f t="shared" si="4"/>
        <v>67</v>
      </c>
      <c r="E58" s="12">
        <v>0.04</v>
      </c>
      <c r="F58" s="12" t="str">
        <f t="shared" si="5"/>
        <v>LOW DISCOUNT</v>
      </c>
      <c r="G58" s="10"/>
      <c r="H58" s="13"/>
      <c r="I58" s="10" t="str">
        <f t="shared" si="6"/>
        <v>NOT PROVIDED</v>
      </c>
      <c r="J58" s="10" t="str">
        <f t="shared" si="7"/>
        <v>MEDIUM PRICE</v>
      </c>
    </row>
    <row r="59" spans="1:10" hidden="1" x14ac:dyDescent="0.35">
      <c r="A59" t="s">
        <v>154</v>
      </c>
      <c r="B59" s="11">
        <v>199</v>
      </c>
      <c r="C59" s="11">
        <v>504</v>
      </c>
      <c r="D59" s="11">
        <f t="shared" si="4"/>
        <v>305</v>
      </c>
      <c r="E59" s="12">
        <v>0.61</v>
      </c>
      <c r="F59" s="12" t="str">
        <f t="shared" si="5"/>
        <v>HIGH DISCOUNT</v>
      </c>
      <c r="G59" s="10"/>
      <c r="H59" s="13"/>
      <c r="I59" s="10" t="str">
        <f t="shared" si="6"/>
        <v>NOT PROVIDED</v>
      </c>
      <c r="J59" s="10" t="str">
        <f t="shared" si="7"/>
        <v>LOW PRICE</v>
      </c>
    </row>
    <row r="60" spans="1:10" hidden="1" x14ac:dyDescent="0.35">
      <c r="A60" t="s">
        <v>154</v>
      </c>
      <c r="B60" s="11">
        <v>176</v>
      </c>
      <c r="C60" s="11">
        <v>345</v>
      </c>
      <c r="D60" s="11">
        <f t="shared" si="4"/>
        <v>169</v>
      </c>
      <c r="E60" s="12">
        <v>0.49</v>
      </c>
      <c r="F60" s="12" t="str">
        <f t="shared" si="5"/>
        <v>HIGH DISCOUNT</v>
      </c>
      <c r="G60" s="10"/>
      <c r="H60" s="13"/>
      <c r="I60" s="10" t="str">
        <f t="shared" si="6"/>
        <v>NOT PROVIDED</v>
      </c>
      <c r="J60" s="10" t="str">
        <f t="shared" si="7"/>
        <v>LOW PRICE</v>
      </c>
    </row>
    <row r="61" spans="1:10" hidden="1" x14ac:dyDescent="0.35">
      <c r="A61" t="s">
        <v>102</v>
      </c>
      <c r="B61" s="11">
        <v>185</v>
      </c>
      <c r="C61" s="11">
        <v>382</v>
      </c>
      <c r="D61" s="11">
        <f t="shared" si="4"/>
        <v>197</v>
      </c>
      <c r="E61" s="12">
        <v>0.52</v>
      </c>
      <c r="F61" s="12" t="str">
        <f t="shared" si="5"/>
        <v>HIGH DISCOUNT</v>
      </c>
      <c r="G61" s="10">
        <v>9</v>
      </c>
      <c r="H61" s="13">
        <v>4.3</v>
      </c>
      <c r="I61" s="10" t="str">
        <f t="shared" si="6"/>
        <v>AVERAGE</v>
      </c>
      <c r="J61" s="10" t="str">
        <f t="shared" si="7"/>
        <v>LOW PRICE</v>
      </c>
    </row>
    <row r="62" spans="1:10" hidden="1" x14ac:dyDescent="0.35">
      <c r="A62" t="s">
        <v>173</v>
      </c>
      <c r="B62" s="11">
        <v>699</v>
      </c>
      <c r="C62" s="11">
        <v>1343</v>
      </c>
      <c r="D62" s="11">
        <f t="shared" si="4"/>
        <v>644</v>
      </c>
      <c r="E62" s="12">
        <v>0.48</v>
      </c>
      <c r="F62" s="12" t="str">
        <f t="shared" si="5"/>
        <v>HIGH DISCOUNT</v>
      </c>
      <c r="G62" s="10"/>
      <c r="H62" s="13"/>
      <c r="I62" s="10" t="str">
        <f t="shared" si="6"/>
        <v>NOT PROVIDED</v>
      </c>
      <c r="J62" s="10" t="str">
        <f t="shared" si="7"/>
        <v>LOW PRICE</v>
      </c>
    </row>
    <row r="63" spans="1:10" hidden="1" x14ac:dyDescent="0.35">
      <c r="A63" t="s">
        <v>143</v>
      </c>
      <c r="B63" s="11">
        <v>999</v>
      </c>
      <c r="C63" s="11">
        <v>2000</v>
      </c>
      <c r="D63" s="11">
        <f t="shared" si="4"/>
        <v>1001</v>
      </c>
      <c r="E63" s="12">
        <v>0.5</v>
      </c>
      <c r="F63" s="12" t="str">
        <f t="shared" si="5"/>
        <v>HIGH DISCOUNT</v>
      </c>
      <c r="G63" s="10"/>
      <c r="H63" s="13"/>
      <c r="I63" s="10" t="str">
        <f t="shared" si="6"/>
        <v>NOT PROVIDED</v>
      </c>
      <c r="J63" s="10" t="str">
        <f t="shared" si="7"/>
        <v>LOW PRICE</v>
      </c>
    </row>
    <row r="64" spans="1:10" hidden="1" x14ac:dyDescent="0.35">
      <c r="A64" t="s">
        <v>310</v>
      </c>
      <c r="B64" s="11">
        <v>1190</v>
      </c>
      <c r="C64" s="11">
        <v>1810</v>
      </c>
      <c r="D64" s="11">
        <f t="shared" si="4"/>
        <v>620</v>
      </c>
      <c r="E64" s="12">
        <v>0.34</v>
      </c>
      <c r="F64" s="12" t="str">
        <f t="shared" si="5"/>
        <v>MEDIUM DISCOUNT</v>
      </c>
      <c r="G64" s="10"/>
      <c r="H64" s="13"/>
      <c r="I64" s="10" t="str">
        <f t="shared" si="6"/>
        <v>NOT PROVIDED</v>
      </c>
      <c r="J64" s="10" t="str">
        <f t="shared" si="7"/>
        <v>MEDIUM PRICE</v>
      </c>
    </row>
    <row r="65" spans="1:10" hidden="1" x14ac:dyDescent="0.35">
      <c r="A65" t="s">
        <v>258</v>
      </c>
      <c r="B65" s="11">
        <v>274</v>
      </c>
      <c r="C65" s="11">
        <v>537</v>
      </c>
      <c r="D65" s="11">
        <f t="shared" si="4"/>
        <v>263</v>
      </c>
      <c r="E65" s="12">
        <v>0.49</v>
      </c>
      <c r="F65" s="12" t="str">
        <f t="shared" si="5"/>
        <v>HIGH DISCOUNT</v>
      </c>
      <c r="G65" s="10"/>
      <c r="H65" s="13"/>
      <c r="I65" s="10" t="str">
        <f t="shared" si="6"/>
        <v>NOT PROVIDED</v>
      </c>
      <c r="J65" s="10" t="str">
        <f t="shared" si="7"/>
        <v>LOW PRICE</v>
      </c>
    </row>
    <row r="66" spans="1:10" hidden="1" x14ac:dyDescent="0.35">
      <c r="A66" t="s">
        <v>148</v>
      </c>
      <c r="B66" s="11">
        <v>671</v>
      </c>
      <c r="C66" s="11">
        <v>1316</v>
      </c>
      <c r="D66" s="11">
        <f t="shared" ref="D66:D97" si="8">C66-B66</f>
        <v>645</v>
      </c>
      <c r="E66" s="12">
        <v>0.49</v>
      </c>
      <c r="F66" s="12" t="str">
        <f t="shared" ref="F66:F97" si="9">IF(E66&lt;20%,"LOW DISCOUNT",IF(E66&lt;40%,"MEDIUM DISCOUNT","HIGH DISCOUNT"))</f>
        <v>HIGH DISCOUNT</v>
      </c>
      <c r="G66" s="10"/>
      <c r="H66" s="13"/>
      <c r="I66" s="10" t="str">
        <f t="shared" ref="I66:I97" si="10">IF(ISBLANK(H66),"NOT PROVIDED",IF(H66&lt;3,"POOR",IF(H66&lt;4.5,"AVERAGE","EXCELLENT")))</f>
        <v>NOT PROVIDED</v>
      </c>
      <c r="J66" s="10" t="str">
        <f t="shared" ref="J66:J97" si="11">IF(B66&lt;1000,"LOW PRICE",IF(B66&lt;2000,"MEDIUM PRICE","HIGH PRICE"))</f>
        <v>LOW PRICE</v>
      </c>
    </row>
    <row r="67" spans="1:10" hidden="1" x14ac:dyDescent="0.35">
      <c r="A67" t="s">
        <v>157</v>
      </c>
      <c r="B67" s="11">
        <v>299</v>
      </c>
      <c r="C67" s="11">
        <v>600</v>
      </c>
      <c r="D67" s="11">
        <f t="shared" si="8"/>
        <v>301</v>
      </c>
      <c r="E67" s="12">
        <v>0.5</v>
      </c>
      <c r="F67" s="12" t="str">
        <f t="shared" si="9"/>
        <v>HIGH DISCOUNT</v>
      </c>
      <c r="G67" s="10"/>
      <c r="H67" s="13"/>
      <c r="I67" s="10" t="str">
        <f t="shared" si="10"/>
        <v>NOT PROVIDED</v>
      </c>
      <c r="J67" s="10" t="str">
        <f t="shared" si="11"/>
        <v>LOW PRICE</v>
      </c>
    </row>
    <row r="68" spans="1:10" hidden="1" x14ac:dyDescent="0.35">
      <c r="A68" t="s">
        <v>320</v>
      </c>
      <c r="B68" s="11">
        <v>169</v>
      </c>
      <c r="C68" s="11">
        <v>320</v>
      </c>
      <c r="D68" s="11">
        <f t="shared" si="8"/>
        <v>151</v>
      </c>
      <c r="E68" s="12">
        <v>0.47</v>
      </c>
      <c r="F68" s="12" t="str">
        <f t="shared" si="9"/>
        <v>HIGH DISCOUNT</v>
      </c>
      <c r="G68" s="10"/>
      <c r="H68" s="13"/>
      <c r="I68" s="10" t="str">
        <f t="shared" si="10"/>
        <v>NOT PROVIDED</v>
      </c>
      <c r="J68" s="10" t="str">
        <f t="shared" si="11"/>
        <v>LOW PRICE</v>
      </c>
    </row>
    <row r="69" spans="1:10" hidden="1" x14ac:dyDescent="0.35">
      <c r="A69" t="s">
        <v>81</v>
      </c>
      <c r="B69" s="11">
        <v>1650</v>
      </c>
      <c r="C69" s="11">
        <v>2150</v>
      </c>
      <c r="D69" s="11">
        <f t="shared" si="8"/>
        <v>500</v>
      </c>
      <c r="E69" s="12">
        <v>0.23</v>
      </c>
      <c r="F69" s="12" t="str">
        <f t="shared" si="9"/>
        <v>MEDIUM DISCOUNT</v>
      </c>
      <c r="G69" s="10">
        <v>14</v>
      </c>
      <c r="H69" s="13">
        <v>4.4000000000000004</v>
      </c>
      <c r="I69" s="10" t="str">
        <f t="shared" si="10"/>
        <v>AVERAGE</v>
      </c>
      <c r="J69" s="10" t="str">
        <f t="shared" si="11"/>
        <v>MEDIUM PRICE</v>
      </c>
    </row>
    <row r="70" spans="1:10" hidden="1" x14ac:dyDescent="0.35">
      <c r="A70" t="s">
        <v>137</v>
      </c>
      <c r="B70" s="11">
        <v>610</v>
      </c>
      <c r="C70" s="11">
        <v>1060</v>
      </c>
      <c r="D70" s="11">
        <f t="shared" si="8"/>
        <v>450</v>
      </c>
      <c r="E70" s="12">
        <v>0.42</v>
      </c>
      <c r="F70" s="12" t="str">
        <f t="shared" si="9"/>
        <v>HIGH DISCOUNT</v>
      </c>
      <c r="G70" s="10"/>
      <c r="H70" s="13"/>
      <c r="I70" s="10" t="str">
        <f t="shared" si="10"/>
        <v>NOT PROVIDED</v>
      </c>
      <c r="J70" s="10" t="str">
        <f t="shared" si="11"/>
        <v>LOW PRICE</v>
      </c>
    </row>
    <row r="71" spans="1:10" hidden="1" x14ac:dyDescent="0.35">
      <c r="A71" t="s">
        <v>289</v>
      </c>
      <c r="B71" s="11">
        <v>525</v>
      </c>
      <c r="C71" s="11">
        <v>1029</v>
      </c>
      <c r="D71" s="11">
        <f t="shared" si="8"/>
        <v>504</v>
      </c>
      <c r="E71" s="12">
        <v>0.49</v>
      </c>
      <c r="F71" s="12" t="str">
        <f t="shared" si="9"/>
        <v>HIGH DISCOUNT</v>
      </c>
      <c r="G71" s="10"/>
      <c r="H71" s="13"/>
      <c r="I71" s="10" t="str">
        <f t="shared" si="10"/>
        <v>NOT PROVIDED</v>
      </c>
      <c r="J71" s="10" t="str">
        <f t="shared" si="11"/>
        <v>LOW PRICE</v>
      </c>
    </row>
    <row r="72" spans="1:10" hidden="1" x14ac:dyDescent="0.35">
      <c r="A72" t="s">
        <v>50</v>
      </c>
      <c r="B72" s="11">
        <v>501</v>
      </c>
      <c r="C72" s="11">
        <v>860</v>
      </c>
      <c r="D72" s="11">
        <f t="shared" si="8"/>
        <v>359</v>
      </c>
      <c r="E72" s="12">
        <v>0.42</v>
      </c>
      <c r="F72" s="12" t="str">
        <f t="shared" si="9"/>
        <v>HIGH DISCOUNT</v>
      </c>
      <c r="G72" s="10">
        <v>6</v>
      </c>
      <c r="H72" s="13">
        <v>4.5</v>
      </c>
      <c r="I72" s="10" t="str">
        <f t="shared" si="10"/>
        <v>EXCELLENT</v>
      </c>
      <c r="J72" s="10" t="str">
        <f t="shared" si="11"/>
        <v>LOW PRICE</v>
      </c>
    </row>
    <row r="73" spans="1:10" hidden="1" x14ac:dyDescent="0.35">
      <c r="A73" t="s">
        <v>114</v>
      </c>
      <c r="B73" s="11">
        <v>1980</v>
      </c>
      <c r="C73" s="11">
        <v>2699</v>
      </c>
      <c r="D73" s="11">
        <f t="shared" si="8"/>
        <v>719</v>
      </c>
      <c r="E73" s="12">
        <v>0.27</v>
      </c>
      <c r="F73" s="12" t="str">
        <f t="shared" si="9"/>
        <v>MEDIUM DISCOUNT</v>
      </c>
      <c r="G73" s="10">
        <v>32</v>
      </c>
      <c r="H73" s="13">
        <v>4.5</v>
      </c>
      <c r="I73" s="10" t="str">
        <f t="shared" si="10"/>
        <v>EXCELLENT</v>
      </c>
      <c r="J73" s="10" t="str">
        <f t="shared" si="11"/>
        <v>MEDIUM PRICE</v>
      </c>
    </row>
    <row r="74" spans="1:10" hidden="1" x14ac:dyDescent="0.35">
      <c r="A74" t="s">
        <v>175</v>
      </c>
      <c r="B74" s="11">
        <v>799</v>
      </c>
      <c r="C74" s="11">
        <v>1567</v>
      </c>
      <c r="D74" s="11">
        <f t="shared" si="8"/>
        <v>768</v>
      </c>
      <c r="E74" s="12">
        <v>0.49</v>
      </c>
      <c r="F74" s="12" t="str">
        <f t="shared" si="9"/>
        <v>HIGH DISCOUNT</v>
      </c>
      <c r="G74" s="10"/>
      <c r="H74" s="13"/>
      <c r="I74" s="10" t="str">
        <f t="shared" si="10"/>
        <v>NOT PROVIDED</v>
      </c>
      <c r="J74" s="10" t="str">
        <f t="shared" si="11"/>
        <v>LOW PRICE</v>
      </c>
    </row>
    <row r="75" spans="1:10" hidden="1" x14ac:dyDescent="0.35">
      <c r="A75" t="s">
        <v>175</v>
      </c>
      <c r="B75" s="11">
        <v>657</v>
      </c>
      <c r="C75" s="11">
        <v>1288</v>
      </c>
      <c r="D75" s="11">
        <f t="shared" si="8"/>
        <v>631</v>
      </c>
      <c r="E75" s="12">
        <v>0.49</v>
      </c>
      <c r="F75" s="12" t="str">
        <f t="shared" si="9"/>
        <v>HIGH DISCOUNT</v>
      </c>
      <c r="G75" s="10"/>
      <c r="H75" s="13"/>
      <c r="I75" s="10" t="str">
        <f t="shared" si="10"/>
        <v>NOT PROVIDED</v>
      </c>
      <c r="J75" s="10" t="str">
        <f t="shared" si="11"/>
        <v>LOW PRICE</v>
      </c>
    </row>
    <row r="76" spans="1:10" hidden="1" x14ac:dyDescent="0.35">
      <c r="A76" t="s">
        <v>6</v>
      </c>
      <c r="B76" s="11">
        <v>950</v>
      </c>
      <c r="C76" s="11">
        <v>1525</v>
      </c>
      <c r="D76" s="11">
        <f t="shared" si="8"/>
        <v>575</v>
      </c>
      <c r="E76" s="12">
        <v>0.38</v>
      </c>
      <c r="F76" s="12" t="str">
        <f t="shared" si="9"/>
        <v>MEDIUM DISCOUNT</v>
      </c>
      <c r="G76" s="10">
        <v>2</v>
      </c>
      <c r="H76" s="13">
        <v>4.5</v>
      </c>
      <c r="I76" s="10" t="str">
        <f t="shared" si="10"/>
        <v>EXCELLENT</v>
      </c>
      <c r="J76" s="10" t="str">
        <f t="shared" si="11"/>
        <v>LOW PRICE</v>
      </c>
    </row>
    <row r="77" spans="1:10" hidden="1" x14ac:dyDescent="0.35">
      <c r="A77" t="s">
        <v>298</v>
      </c>
      <c r="B77" s="11">
        <v>1420</v>
      </c>
      <c r="C77" s="11">
        <v>2420</v>
      </c>
      <c r="D77" s="11">
        <f t="shared" si="8"/>
        <v>1000</v>
      </c>
      <c r="E77" s="12">
        <v>0.41</v>
      </c>
      <c r="F77" s="12" t="str">
        <f t="shared" si="9"/>
        <v>HIGH DISCOUNT</v>
      </c>
      <c r="G77" s="10"/>
      <c r="H77" s="13"/>
      <c r="I77" s="10" t="str">
        <f t="shared" si="10"/>
        <v>NOT PROVIDED</v>
      </c>
      <c r="J77" s="10" t="str">
        <f t="shared" si="11"/>
        <v>MEDIUM PRICE</v>
      </c>
    </row>
    <row r="78" spans="1:10" hidden="1" x14ac:dyDescent="0.35">
      <c r="A78" t="s">
        <v>292</v>
      </c>
      <c r="B78" s="11">
        <v>1080</v>
      </c>
      <c r="C78" s="11">
        <v>1874</v>
      </c>
      <c r="D78" s="11">
        <f t="shared" si="8"/>
        <v>794</v>
      </c>
      <c r="E78" s="12">
        <v>0.42</v>
      </c>
      <c r="F78" s="12" t="str">
        <f t="shared" si="9"/>
        <v>HIGH DISCOUNT</v>
      </c>
      <c r="G78" s="10"/>
      <c r="H78" s="13"/>
      <c r="I78" s="10" t="str">
        <f t="shared" si="10"/>
        <v>NOT PROVIDED</v>
      </c>
      <c r="J78" s="10" t="str">
        <f t="shared" si="11"/>
        <v>MEDIUM PRICE</v>
      </c>
    </row>
    <row r="79" spans="1:10" hidden="1" x14ac:dyDescent="0.35">
      <c r="A79" t="s">
        <v>334</v>
      </c>
      <c r="B79" s="11">
        <v>1620</v>
      </c>
      <c r="C79" s="11">
        <v>2200</v>
      </c>
      <c r="D79" s="11">
        <f t="shared" si="8"/>
        <v>580</v>
      </c>
      <c r="E79" s="12">
        <v>0.26</v>
      </c>
      <c r="F79" s="12" t="str">
        <f t="shared" si="9"/>
        <v>MEDIUM DISCOUNT</v>
      </c>
      <c r="G79" s="10">
        <v>2</v>
      </c>
      <c r="H79" s="13">
        <v>4.5</v>
      </c>
      <c r="I79" s="10" t="str">
        <f t="shared" si="10"/>
        <v>EXCELLENT</v>
      </c>
      <c r="J79" s="10" t="str">
        <f t="shared" si="11"/>
        <v>MEDIUM PRICE</v>
      </c>
    </row>
    <row r="80" spans="1:10" hidden="1" x14ac:dyDescent="0.35">
      <c r="A80" t="s">
        <v>240</v>
      </c>
      <c r="B80" s="11">
        <v>230</v>
      </c>
      <c r="C80" s="11">
        <v>450</v>
      </c>
      <c r="D80" s="11">
        <f t="shared" si="8"/>
        <v>220</v>
      </c>
      <c r="E80" s="12">
        <v>0.49</v>
      </c>
      <c r="F80" s="12" t="str">
        <f t="shared" si="9"/>
        <v>HIGH DISCOUNT</v>
      </c>
      <c r="G80" s="10"/>
      <c r="H80" s="13"/>
      <c r="I80" s="10" t="str">
        <f t="shared" si="10"/>
        <v>NOT PROVIDED</v>
      </c>
      <c r="J80" s="10" t="str">
        <f t="shared" si="11"/>
        <v>LOW PRICE</v>
      </c>
    </row>
    <row r="81" spans="1:10" hidden="1" x14ac:dyDescent="0.35">
      <c r="A81" t="s">
        <v>145</v>
      </c>
      <c r="B81" s="11">
        <v>1190</v>
      </c>
      <c r="C81" s="11">
        <v>1785</v>
      </c>
      <c r="D81" s="11">
        <f t="shared" si="8"/>
        <v>595</v>
      </c>
      <c r="E81" s="12">
        <v>0.33</v>
      </c>
      <c r="F81" s="12" t="str">
        <f t="shared" si="9"/>
        <v>MEDIUM DISCOUNT</v>
      </c>
      <c r="G81" s="10"/>
      <c r="H81" s="13"/>
      <c r="I81" s="10" t="str">
        <f t="shared" si="10"/>
        <v>NOT PROVIDED</v>
      </c>
      <c r="J81" s="10" t="str">
        <f t="shared" si="11"/>
        <v>MEDIUM PRICE</v>
      </c>
    </row>
    <row r="82" spans="1:10" hidden="1" x14ac:dyDescent="0.35">
      <c r="A82" t="s">
        <v>277</v>
      </c>
      <c r="B82" s="11">
        <v>899</v>
      </c>
      <c r="C82" s="11">
        <v>1699</v>
      </c>
      <c r="D82" s="11">
        <f t="shared" si="8"/>
        <v>800</v>
      </c>
      <c r="E82" s="12">
        <v>0.47</v>
      </c>
      <c r="F82" s="12" t="str">
        <f t="shared" si="9"/>
        <v>HIGH DISCOUNT</v>
      </c>
      <c r="G82" s="10"/>
      <c r="H82" s="13"/>
      <c r="I82" s="10" t="str">
        <f t="shared" si="10"/>
        <v>NOT PROVIDED</v>
      </c>
      <c r="J82" s="10" t="str">
        <f t="shared" si="11"/>
        <v>LOW PRICE</v>
      </c>
    </row>
    <row r="83" spans="1:10" hidden="1" x14ac:dyDescent="0.35">
      <c r="A83" t="s">
        <v>316</v>
      </c>
      <c r="B83" s="11">
        <v>199</v>
      </c>
      <c r="C83" s="11">
        <v>553</v>
      </c>
      <c r="D83" s="11">
        <f t="shared" si="8"/>
        <v>354</v>
      </c>
      <c r="E83" s="12">
        <v>0.64</v>
      </c>
      <c r="F83" s="12" t="str">
        <f t="shared" si="9"/>
        <v>HIGH DISCOUNT</v>
      </c>
      <c r="G83" s="10"/>
      <c r="H83" s="13"/>
      <c r="I83" s="10" t="str">
        <f t="shared" si="10"/>
        <v>NOT PROVIDED</v>
      </c>
      <c r="J83" s="10" t="str">
        <f t="shared" si="11"/>
        <v>LOW PRICE</v>
      </c>
    </row>
    <row r="84" spans="1:10" hidden="1" x14ac:dyDescent="0.35">
      <c r="A84" t="s">
        <v>14</v>
      </c>
      <c r="B84" s="11">
        <v>2199</v>
      </c>
      <c r="C84" s="11">
        <v>2923</v>
      </c>
      <c r="D84" s="11">
        <f t="shared" si="8"/>
        <v>724</v>
      </c>
      <c r="E84" s="12">
        <v>0.25</v>
      </c>
      <c r="F84" s="12" t="str">
        <f t="shared" si="9"/>
        <v>MEDIUM DISCOUNT</v>
      </c>
      <c r="G84" s="10">
        <v>24</v>
      </c>
      <c r="H84" s="13">
        <v>4.5999999999999996</v>
      </c>
      <c r="I84" s="10" t="str">
        <f t="shared" si="10"/>
        <v>EXCELLENT</v>
      </c>
      <c r="J84" s="10" t="str">
        <f t="shared" si="11"/>
        <v>HIGH PRICE</v>
      </c>
    </row>
    <row r="85" spans="1:10" hidden="1" x14ac:dyDescent="0.35">
      <c r="A85" t="s">
        <v>248</v>
      </c>
      <c r="B85" s="11">
        <v>1460</v>
      </c>
      <c r="C85" s="11">
        <v>2290</v>
      </c>
      <c r="D85" s="11">
        <f t="shared" si="8"/>
        <v>830</v>
      </c>
      <c r="E85" s="12">
        <v>0.36</v>
      </c>
      <c r="F85" s="12" t="str">
        <f t="shared" si="9"/>
        <v>MEDIUM DISCOUNT</v>
      </c>
      <c r="G85" s="10"/>
      <c r="H85" s="13"/>
      <c r="I85" s="10" t="str">
        <f t="shared" si="10"/>
        <v>NOT PROVIDED</v>
      </c>
      <c r="J85" s="10" t="str">
        <f t="shared" si="11"/>
        <v>MEDIUM PRICE</v>
      </c>
    </row>
    <row r="86" spans="1:10" hidden="1" x14ac:dyDescent="0.35">
      <c r="A86" t="s">
        <v>66</v>
      </c>
      <c r="B86" s="11">
        <v>2999</v>
      </c>
      <c r="C86" s="11">
        <v>3699</v>
      </c>
      <c r="D86" s="11">
        <f t="shared" si="8"/>
        <v>700</v>
      </c>
      <c r="E86" s="12">
        <v>0.19</v>
      </c>
      <c r="F86" s="12" t="str">
        <f t="shared" si="9"/>
        <v>LOW DISCOUNT</v>
      </c>
      <c r="G86" s="10">
        <v>5</v>
      </c>
      <c r="H86" s="13">
        <v>4.5999999999999996</v>
      </c>
      <c r="I86" s="10" t="str">
        <f t="shared" si="10"/>
        <v>EXCELLENT</v>
      </c>
      <c r="J86" s="10" t="str">
        <f t="shared" si="11"/>
        <v>HIGH PRICE</v>
      </c>
    </row>
    <row r="87" spans="1:10" hidden="1" x14ac:dyDescent="0.35">
      <c r="A87" t="s">
        <v>89</v>
      </c>
      <c r="B87" s="11">
        <v>420</v>
      </c>
      <c r="C87" s="11">
        <v>647</v>
      </c>
      <c r="D87" s="11">
        <f t="shared" si="8"/>
        <v>227</v>
      </c>
      <c r="E87" s="12">
        <v>0.35</v>
      </c>
      <c r="F87" s="12" t="str">
        <f t="shared" si="9"/>
        <v>MEDIUM DISCOUNT</v>
      </c>
      <c r="G87" s="10">
        <v>49</v>
      </c>
      <c r="H87" s="13">
        <v>4.5999999999999996</v>
      </c>
      <c r="I87" s="10" t="str">
        <f t="shared" si="10"/>
        <v>EXCELLENT</v>
      </c>
      <c r="J87" s="10" t="str">
        <f t="shared" si="11"/>
        <v>LOW PRICE</v>
      </c>
    </row>
    <row r="88" spans="1:10" hidden="1" x14ac:dyDescent="0.35">
      <c r="A88" t="s">
        <v>68</v>
      </c>
      <c r="B88" s="11">
        <v>998</v>
      </c>
      <c r="C88" s="11">
        <v>1966</v>
      </c>
      <c r="D88" s="11">
        <f t="shared" si="8"/>
        <v>968</v>
      </c>
      <c r="E88" s="12">
        <v>0.49</v>
      </c>
      <c r="F88" s="12" t="str">
        <f t="shared" si="9"/>
        <v>HIGH DISCOUNT</v>
      </c>
      <c r="G88" s="10">
        <v>44</v>
      </c>
      <c r="H88" s="13">
        <v>4.5999999999999996</v>
      </c>
      <c r="I88" s="10" t="str">
        <f t="shared" si="10"/>
        <v>EXCELLENT</v>
      </c>
      <c r="J88" s="10" t="str">
        <f t="shared" si="11"/>
        <v>LOW PRICE</v>
      </c>
    </row>
    <row r="89" spans="1:10" hidden="1" x14ac:dyDescent="0.35">
      <c r="A89" t="s">
        <v>30</v>
      </c>
      <c r="B89" s="11">
        <v>2319</v>
      </c>
      <c r="C89" s="11">
        <v>3032</v>
      </c>
      <c r="D89" s="11">
        <f t="shared" si="8"/>
        <v>713</v>
      </c>
      <c r="E89" s="12">
        <v>0.24</v>
      </c>
      <c r="F89" s="12" t="str">
        <f t="shared" si="9"/>
        <v>MEDIUM DISCOUNT</v>
      </c>
      <c r="G89" s="10">
        <v>55</v>
      </c>
      <c r="H89" s="13">
        <v>4.5999999999999996</v>
      </c>
      <c r="I89" s="10" t="str">
        <f t="shared" si="10"/>
        <v>EXCELLENT</v>
      </c>
      <c r="J89" s="10" t="str">
        <f t="shared" si="11"/>
        <v>HIGH PRICE</v>
      </c>
    </row>
    <row r="90" spans="1:10" hidden="1" x14ac:dyDescent="0.35">
      <c r="A90" t="s">
        <v>75</v>
      </c>
      <c r="B90" s="11">
        <v>1860</v>
      </c>
      <c r="C90" s="11">
        <v>3220</v>
      </c>
      <c r="D90" s="11">
        <f t="shared" si="8"/>
        <v>1360</v>
      </c>
      <c r="E90" s="12">
        <v>0.42</v>
      </c>
      <c r="F90" s="12" t="str">
        <f t="shared" si="9"/>
        <v>HIGH DISCOUNT</v>
      </c>
      <c r="G90" s="10"/>
      <c r="H90" s="13"/>
      <c r="I90" s="10" t="str">
        <f t="shared" si="10"/>
        <v>NOT PROVIDED</v>
      </c>
      <c r="J90" s="10" t="str">
        <f t="shared" si="11"/>
        <v>MEDIUM PRICE</v>
      </c>
    </row>
    <row r="91" spans="1:10" hidden="1" x14ac:dyDescent="0.35">
      <c r="A91" t="s">
        <v>131</v>
      </c>
      <c r="B91" s="11">
        <v>475</v>
      </c>
      <c r="C91" s="11">
        <v>931</v>
      </c>
      <c r="D91" s="11">
        <f t="shared" si="8"/>
        <v>456</v>
      </c>
      <c r="E91" s="12">
        <v>0.49</v>
      </c>
      <c r="F91" s="12" t="str">
        <f t="shared" si="9"/>
        <v>HIGH DISCOUNT</v>
      </c>
      <c r="G91" s="10"/>
      <c r="H91" s="13"/>
      <c r="I91" s="10" t="str">
        <f t="shared" si="10"/>
        <v>NOT PROVIDED</v>
      </c>
      <c r="J91" s="10" t="str">
        <f t="shared" si="11"/>
        <v>LOW PRICE</v>
      </c>
    </row>
    <row r="92" spans="1:10" hidden="1" x14ac:dyDescent="0.35">
      <c r="A92" t="s">
        <v>18</v>
      </c>
      <c r="B92" s="11">
        <v>1580</v>
      </c>
      <c r="C92" s="11">
        <v>2499</v>
      </c>
      <c r="D92" s="11">
        <f t="shared" si="8"/>
        <v>919</v>
      </c>
      <c r="E92" s="12">
        <v>0.37</v>
      </c>
      <c r="F92" s="12" t="str">
        <f t="shared" si="9"/>
        <v>MEDIUM DISCOUNT</v>
      </c>
      <c r="G92" s="10">
        <v>7</v>
      </c>
      <c r="H92" s="13">
        <v>4.7</v>
      </c>
      <c r="I92" s="10" t="str">
        <f t="shared" si="10"/>
        <v>EXCELLENT</v>
      </c>
      <c r="J92" s="10" t="str">
        <f t="shared" si="11"/>
        <v>MEDIUM PRICE</v>
      </c>
    </row>
    <row r="93" spans="1:10" hidden="1" x14ac:dyDescent="0.35">
      <c r="A93" t="s">
        <v>284</v>
      </c>
      <c r="B93" s="11">
        <v>248</v>
      </c>
      <c r="C93" s="11">
        <v>486</v>
      </c>
      <c r="D93" s="11">
        <f t="shared" si="8"/>
        <v>238</v>
      </c>
      <c r="E93" s="12">
        <v>0.49</v>
      </c>
      <c r="F93" s="12" t="str">
        <f t="shared" si="9"/>
        <v>HIGH DISCOUNT</v>
      </c>
      <c r="G93" s="10"/>
      <c r="H93" s="13"/>
      <c r="I93" s="10" t="str">
        <f t="shared" si="10"/>
        <v>NOT PROVIDED</v>
      </c>
      <c r="J93" s="10" t="str">
        <f t="shared" si="11"/>
        <v>LOW PRICE</v>
      </c>
    </row>
    <row r="94" spans="1:10" hidden="1" x14ac:dyDescent="0.35">
      <c r="A94" t="s">
        <v>111</v>
      </c>
      <c r="B94" s="11">
        <v>1940</v>
      </c>
      <c r="C94" s="11">
        <v>2650</v>
      </c>
      <c r="D94" s="11">
        <f t="shared" si="8"/>
        <v>710</v>
      </c>
      <c r="E94" s="12">
        <v>0.27</v>
      </c>
      <c r="F94" s="12" t="str">
        <f t="shared" si="9"/>
        <v>MEDIUM DISCOUNT</v>
      </c>
      <c r="G94" s="10">
        <v>20</v>
      </c>
      <c r="H94" s="13">
        <v>4.7</v>
      </c>
      <c r="I94" s="10" t="str">
        <f t="shared" si="10"/>
        <v>EXCELLENT</v>
      </c>
      <c r="J94" s="10" t="str">
        <f t="shared" si="11"/>
        <v>MEDIUM PRICE</v>
      </c>
    </row>
    <row r="95" spans="1:10" hidden="1" x14ac:dyDescent="0.35">
      <c r="A95" t="s">
        <v>235</v>
      </c>
      <c r="B95" s="11">
        <v>690</v>
      </c>
      <c r="C95" s="11">
        <v>1200</v>
      </c>
      <c r="D95" s="11">
        <f t="shared" si="8"/>
        <v>510</v>
      </c>
      <c r="E95" s="12">
        <v>0.43</v>
      </c>
      <c r="F95" s="12" t="str">
        <f t="shared" si="9"/>
        <v>HIGH DISCOUNT</v>
      </c>
      <c r="G95" s="10"/>
      <c r="H95" s="13"/>
      <c r="I95" s="10" t="str">
        <f t="shared" si="10"/>
        <v>NOT PROVIDED</v>
      </c>
      <c r="J95" s="10" t="str">
        <f t="shared" si="11"/>
        <v>LOW PRICE</v>
      </c>
    </row>
    <row r="96" spans="1:10" hidden="1" x14ac:dyDescent="0.35">
      <c r="A96" t="s">
        <v>105</v>
      </c>
      <c r="B96" s="11">
        <v>980</v>
      </c>
      <c r="C96" s="11">
        <v>1490</v>
      </c>
      <c r="D96" s="11">
        <f t="shared" si="8"/>
        <v>510</v>
      </c>
      <c r="E96" s="12">
        <v>0.34</v>
      </c>
      <c r="F96" s="12" t="str">
        <f t="shared" si="9"/>
        <v>MEDIUM DISCOUNT</v>
      </c>
      <c r="G96" s="10">
        <v>12</v>
      </c>
      <c r="H96" s="13">
        <v>4.7</v>
      </c>
      <c r="I96" s="10" t="str">
        <f t="shared" si="10"/>
        <v>EXCELLENT</v>
      </c>
      <c r="J96" s="10" t="str">
        <f t="shared" si="11"/>
        <v>LOW PRICE</v>
      </c>
    </row>
    <row r="97" spans="1:10" hidden="1" x14ac:dyDescent="0.35">
      <c r="A97" t="s">
        <v>44</v>
      </c>
      <c r="B97" s="11">
        <v>990</v>
      </c>
      <c r="C97" s="11">
        <v>1500</v>
      </c>
      <c r="D97" s="11">
        <f t="shared" si="8"/>
        <v>510</v>
      </c>
      <c r="E97" s="12">
        <v>0.34</v>
      </c>
      <c r="F97" s="12" t="str">
        <f t="shared" si="9"/>
        <v>MEDIUM DISCOUNT</v>
      </c>
      <c r="G97" s="10">
        <v>39</v>
      </c>
      <c r="H97" s="13">
        <v>4.7</v>
      </c>
      <c r="I97" s="10" t="str">
        <f t="shared" si="10"/>
        <v>EXCELLENT</v>
      </c>
      <c r="J97" s="10" t="str">
        <f t="shared" si="11"/>
        <v>LOW PRICE</v>
      </c>
    </row>
    <row r="98" spans="1:10" hidden="1" x14ac:dyDescent="0.35">
      <c r="A98" t="s">
        <v>22</v>
      </c>
      <c r="B98" s="11">
        <v>1740</v>
      </c>
      <c r="C98" s="11">
        <v>2356</v>
      </c>
      <c r="D98" s="11">
        <f t="shared" ref="D98:D114" si="12">C98-B98</f>
        <v>616</v>
      </c>
      <c r="E98" s="12">
        <v>0.26</v>
      </c>
      <c r="F98" s="12" t="str">
        <f t="shared" ref="F98:F114" si="13">IF(E98&lt;20%,"LOW DISCOUNT",IF(E98&lt;40%,"MEDIUM DISCOUNT","HIGH DISCOUNT"))</f>
        <v>MEDIUM DISCOUNT</v>
      </c>
      <c r="G98" s="10">
        <v>5</v>
      </c>
      <c r="H98" s="13">
        <v>4.8</v>
      </c>
      <c r="I98" s="10" t="str">
        <f t="shared" ref="I98:I114" si="14">IF(ISBLANK(H98),"NOT PROVIDED",IF(H98&lt;3,"POOR",IF(H98&lt;4.5,"AVERAGE","EXCELLENT")))</f>
        <v>EXCELLENT</v>
      </c>
      <c r="J98" s="10" t="str">
        <f t="shared" ref="J98:J114" si="15">IF(B98&lt;1000,"LOW PRICE",IF(B98&lt;2000,"MEDIUM PRICE","HIGH PRICE"))</f>
        <v>MEDIUM PRICE</v>
      </c>
    </row>
    <row r="99" spans="1:10" hidden="1" x14ac:dyDescent="0.35">
      <c r="A99" t="s">
        <v>232</v>
      </c>
      <c r="B99" s="11">
        <v>790</v>
      </c>
      <c r="C99" s="11">
        <v>1485</v>
      </c>
      <c r="D99" s="11">
        <f t="shared" si="12"/>
        <v>695</v>
      </c>
      <c r="E99" s="12">
        <v>0.47</v>
      </c>
      <c r="F99" s="12" t="str">
        <f t="shared" si="13"/>
        <v>HIGH DISCOUNT</v>
      </c>
      <c r="G99" s="10"/>
      <c r="H99" s="13"/>
      <c r="I99" s="10" t="str">
        <f t="shared" si="14"/>
        <v>NOT PROVIDED</v>
      </c>
      <c r="J99" s="10" t="str">
        <f t="shared" si="15"/>
        <v>LOW PRICE</v>
      </c>
    </row>
    <row r="100" spans="1:10" hidden="1" x14ac:dyDescent="0.35">
      <c r="A100" t="s">
        <v>151</v>
      </c>
      <c r="B100" s="11">
        <v>1200</v>
      </c>
      <c r="C100" s="11">
        <v>1950</v>
      </c>
      <c r="D100" s="11">
        <f t="shared" si="12"/>
        <v>750</v>
      </c>
      <c r="E100" s="12">
        <v>0.38</v>
      </c>
      <c r="F100" s="12" t="str">
        <f t="shared" si="13"/>
        <v>MEDIUM DISCOUNT</v>
      </c>
      <c r="G100" s="10"/>
      <c r="H100" s="13"/>
      <c r="I100" s="10" t="str">
        <f t="shared" si="14"/>
        <v>NOT PROVIDED</v>
      </c>
      <c r="J100" s="10" t="str">
        <f t="shared" si="15"/>
        <v>MEDIUM PRICE</v>
      </c>
    </row>
    <row r="101" spans="1:10" hidden="1" x14ac:dyDescent="0.35">
      <c r="A101" t="s">
        <v>278</v>
      </c>
      <c r="B101" s="11">
        <v>1200</v>
      </c>
      <c r="C101" s="11">
        <v>2400</v>
      </c>
      <c r="D101" s="11">
        <f t="shared" si="12"/>
        <v>1200</v>
      </c>
      <c r="E101" s="12">
        <v>0.5</v>
      </c>
      <c r="F101" s="12" t="str">
        <f t="shared" si="13"/>
        <v>HIGH DISCOUNT</v>
      </c>
      <c r="G101" s="10"/>
      <c r="H101" s="13"/>
      <c r="I101" s="10" t="str">
        <f t="shared" si="14"/>
        <v>NOT PROVIDED</v>
      </c>
      <c r="J101" s="10" t="str">
        <f t="shared" si="15"/>
        <v>MEDIUM PRICE</v>
      </c>
    </row>
    <row r="102" spans="1:10" hidden="1" x14ac:dyDescent="0.35">
      <c r="A102" t="s">
        <v>301</v>
      </c>
      <c r="B102" s="11">
        <v>1875</v>
      </c>
      <c r="C102" s="11">
        <v>1899</v>
      </c>
      <c r="D102" s="11">
        <f t="shared" si="12"/>
        <v>24</v>
      </c>
      <c r="E102" s="12">
        <v>0.01</v>
      </c>
      <c r="F102" s="12" t="str">
        <f t="shared" si="13"/>
        <v>LOW DISCOUNT</v>
      </c>
      <c r="G102" s="10"/>
      <c r="H102" s="13"/>
      <c r="I102" s="10" t="str">
        <f t="shared" si="14"/>
        <v>NOT PROVIDED</v>
      </c>
      <c r="J102" s="10" t="str">
        <f t="shared" si="15"/>
        <v>MEDIUM PRICE</v>
      </c>
    </row>
    <row r="103" spans="1:10" hidden="1" x14ac:dyDescent="0.35">
      <c r="A103" t="s">
        <v>35</v>
      </c>
      <c r="B103" s="11">
        <v>1274</v>
      </c>
      <c r="C103" s="11">
        <v>2800</v>
      </c>
      <c r="D103" s="11">
        <f t="shared" si="12"/>
        <v>1526</v>
      </c>
      <c r="E103" s="12">
        <v>0.55000000000000004</v>
      </c>
      <c r="F103" s="12" t="str">
        <f t="shared" si="13"/>
        <v>HIGH DISCOUNT</v>
      </c>
      <c r="G103" s="10">
        <v>5</v>
      </c>
      <c r="H103" s="13">
        <v>4.8</v>
      </c>
      <c r="I103" s="10" t="str">
        <f t="shared" si="14"/>
        <v>EXCELLENT</v>
      </c>
      <c r="J103" s="10" t="str">
        <f t="shared" si="15"/>
        <v>MEDIUM PRICE</v>
      </c>
    </row>
    <row r="104" spans="1:10" hidden="1" x14ac:dyDescent="0.35">
      <c r="A104" t="s">
        <v>251</v>
      </c>
      <c r="B104" s="11">
        <v>1666</v>
      </c>
      <c r="C104" s="11">
        <v>1699</v>
      </c>
      <c r="D104" s="11">
        <f t="shared" si="12"/>
        <v>33</v>
      </c>
      <c r="E104" s="12">
        <v>0.02</v>
      </c>
      <c r="F104" s="12" t="str">
        <f t="shared" si="13"/>
        <v>LOW DISCOUNT</v>
      </c>
      <c r="G104" s="10"/>
      <c r="H104" s="13"/>
      <c r="I104" s="10" t="str">
        <f t="shared" si="14"/>
        <v>NOT PROVIDED</v>
      </c>
      <c r="J104" s="10" t="str">
        <f t="shared" si="15"/>
        <v>MEDIUM PRICE</v>
      </c>
    </row>
    <row r="105" spans="1:10" hidden="1" x14ac:dyDescent="0.35">
      <c r="A105" t="s">
        <v>304</v>
      </c>
      <c r="B105" s="11">
        <v>198</v>
      </c>
      <c r="C105" s="11">
        <v>260</v>
      </c>
      <c r="D105" s="11">
        <f t="shared" si="12"/>
        <v>62</v>
      </c>
      <c r="E105" s="12">
        <v>0.24</v>
      </c>
      <c r="F105" s="12" t="str">
        <f t="shared" si="13"/>
        <v>MEDIUM DISCOUNT</v>
      </c>
      <c r="G105" s="10"/>
      <c r="H105" s="13"/>
      <c r="I105" s="10" t="str">
        <f t="shared" si="14"/>
        <v>NOT PROVIDED</v>
      </c>
      <c r="J105" s="10" t="str">
        <f t="shared" si="15"/>
        <v>LOW PRICE</v>
      </c>
    </row>
    <row r="106" spans="1:10" hidden="1" x14ac:dyDescent="0.35">
      <c r="A106" t="s">
        <v>47</v>
      </c>
      <c r="B106" s="11">
        <v>552</v>
      </c>
      <c r="C106" s="11">
        <v>1035</v>
      </c>
      <c r="D106" s="11">
        <f t="shared" si="12"/>
        <v>483</v>
      </c>
      <c r="E106" s="12">
        <v>0.47</v>
      </c>
      <c r="F106" s="12" t="str">
        <f t="shared" si="13"/>
        <v>HIGH DISCOUNT</v>
      </c>
      <c r="G106" s="10">
        <v>12</v>
      </c>
      <c r="H106" s="13">
        <v>4.8</v>
      </c>
      <c r="I106" s="10" t="str">
        <f t="shared" si="14"/>
        <v>EXCELLENT</v>
      </c>
      <c r="J106" s="10" t="str">
        <f t="shared" si="15"/>
        <v>LOW PRICE</v>
      </c>
    </row>
    <row r="107" spans="1:10" hidden="1" x14ac:dyDescent="0.35">
      <c r="A107" t="s">
        <v>60</v>
      </c>
      <c r="B107" s="11">
        <v>195</v>
      </c>
      <c r="C107" s="11">
        <v>360</v>
      </c>
      <c r="D107" s="11">
        <f t="shared" si="12"/>
        <v>165</v>
      </c>
      <c r="E107" s="12">
        <v>0.46</v>
      </c>
      <c r="F107" s="12" t="str">
        <f t="shared" si="13"/>
        <v>HIGH DISCOUNT</v>
      </c>
      <c r="G107" s="10">
        <v>2</v>
      </c>
      <c r="H107" s="13">
        <v>5</v>
      </c>
      <c r="I107" s="10" t="str">
        <f t="shared" si="14"/>
        <v>EXCELLENT</v>
      </c>
      <c r="J107" s="10" t="str">
        <f t="shared" si="15"/>
        <v>LOW PRICE</v>
      </c>
    </row>
    <row r="108" spans="1:10" hidden="1" x14ac:dyDescent="0.35">
      <c r="A108" t="s">
        <v>177</v>
      </c>
      <c r="B108" s="11">
        <v>2799</v>
      </c>
      <c r="C108" s="11">
        <v>3810</v>
      </c>
      <c r="D108" s="11">
        <f t="shared" si="12"/>
        <v>1011</v>
      </c>
      <c r="E108" s="12">
        <v>0.27</v>
      </c>
      <c r="F108" s="12" t="str">
        <f t="shared" si="13"/>
        <v>MEDIUM DISCOUNT</v>
      </c>
      <c r="G108" s="10"/>
      <c r="H108" s="13"/>
      <c r="I108" s="10" t="str">
        <f t="shared" si="14"/>
        <v>NOT PROVIDED</v>
      </c>
      <c r="J108" s="10" t="str">
        <f t="shared" si="15"/>
        <v>HIGH PRICE</v>
      </c>
    </row>
    <row r="109" spans="1:10" hidden="1" x14ac:dyDescent="0.35">
      <c r="A109" t="s">
        <v>63</v>
      </c>
      <c r="B109" s="11">
        <v>2025</v>
      </c>
      <c r="C109" s="11">
        <v>3971</v>
      </c>
      <c r="D109" s="11">
        <f t="shared" si="12"/>
        <v>1946</v>
      </c>
      <c r="E109" s="12">
        <v>0.49</v>
      </c>
      <c r="F109" s="12" t="str">
        <f t="shared" si="13"/>
        <v>HIGH DISCOUNT</v>
      </c>
      <c r="G109" s="10">
        <v>3</v>
      </c>
      <c r="H109" s="13">
        <v>5</v>
      </c>
      <c r="I109" s="10" t="str">
        <f t="shared" si="14"/>
        <v>EXCELLENT</v>
      </c>
      <c r="J109" s="10" t="str">
        <f t="shared" si="15"/>
        <v>HIGH PRICE</v>
      </c>
    </row>
    <row r="110" spans="1:10" hidden="1" x14ac:dyDescent="0.35">
      <c r="A110" t="s">
        <v>295</v>
      </c>
      <c r="B110" s="11">
        <v>3640</v>
      </c>
      <c r="C110" s="11">
        <v>4588</v>
      </c>
      <c r="D110" s="11">
        <f t="shared" si="12"/>
        <v>948</v>
      </c>
      <c r="E110" s="12">
        <v>0.21</v>
      </c>
      <c r="F110" s="12" t="str">
        <f t="shared" si="13"/>
        <v>MEDIUM DISCOUNT</v>
      </c>
      <c r="G110" s="10">
        <v>1</v>
      </c>
      <c r="H110" s="13">
        <v>5</v>
      </c>
      <c r="I110" s="10" t="str">
        <f t="shared" si="14"/>
        <v>EXCELLENT</v>
      </c>
      <c r="J110" s="10" t="str">
        <f t="shared" si="15"/>
        <v>HIGH PRICE</v>
      </c>
    </row>
    <row r="111" spans="1:10" hidden="1" x14ac:dyDescent="0.35">
      <c r="A111" t="s">
        <v>117</v>
      </c>
      <c r="B111" s="11">
        <v>1620</v>
      </c>
      <c r="C111" s="11">
        <v>2690</v>
      </c>
      <c r="D111" s="11">
        <f t="shared" si="12"/>
        <v>1070</v>
      </c>
      <c r="E111" s="12">
        <v>0.4</v>
      </c>
      <c r="F111" s="12" t="str">
        <f t="shared" si="13"/>
        <v>HIGH DISCOUNT</v>
      </c>
      <c r="G111" s="10">
        <v>1</v>
      </c>
      <c r="H111" s="13">
        <v>5</v>
      </c>
      <c r="I111" s="10" t="str">
        <f t="shared" si="14"/>
        <v>EXCELLENT</v>
      </c>
      <c r="J111" s="10" t="str">
        <f t="shared" si="15"/>
        <v>MEDIUM PRICE</v>
      </c>
    </row>
    <row r="112" spans="1:10" hidden="1" x14ac:dyDescent="0.35">
      <c r="A112" t="s">
        <v>120</v>
      </c>
      <c r="B112" s="11">
        <v>171</v>
      </c>
      <c r="C112" s="11">
        <v>360</v>
      </c>
      <c r="D112" s="11">
        <f t="shared" si="12"/>
        <v>189</v>
      </c>
      <c r="E112" s="12">
        <v>0.53</v>
      </c>
      <c r="F112" s="12" t="str">
        <f t="shared" si="13"/>
        <v>HIGH DISCOUNT</v>
      </c>
      <c r="G112" s="10">
        <v>2</v>
      </c>
      <c r="H112" s="13">
        <v>5</v>
      </c>
      <c r="I112" s="10" t="str">
        <f t="shared" si="14"/>
        <v>EXCELLENT</v>
      </c>
      <c r="J112" s="10" t="str">
        <f t="shared" si="15"/>
        <v>LOW PRICE</v>
      </c>
    </row>
    <row r="113" spans="1:10" hidden="1" x14ac:dyDescent="0.35">
      <c r="A113" t="s">
        <v>245</v>
      </c>
      <c r="B113" s="11">
        <v>979</v>
      </c>
      <c r="C113" s="11">
        <v>1920</v>
      </c>
      <c r="D113" s="11">
        <f t="shared" si="12"/>
        <v>941</v>
      </c>
      <c r="E113" s="12">
        <v>0.49</v>
      </c>
      <c r="F113" s="12" t="str">
        <f t="shared" si="13"/>
        <v>HIGH DISCOUNT</v>
      </c>
      <c r="G113" s="10">
        <v>1</v>
      </c>
      <c r="H113" s="13">
        <v>5</v>
      </c>
      <c r="I113" s="10" t="str">
        <f t="shared" si="14"/>
        <v>EXCELLENT</v>
      </c>
      <c r="J113" s="10" t="str">
        <f t="shared" si="15"/>
        <v>LOW PRICE</v>
      </c>
    </row>
    <row r="114" spans="1:10" hidden="1" x14ac:dyDescent="0.35">
      <c r="A114" t="s">
        <v>56</v>
      </c>
      <c r="B114" s="11">
        <v>332</v>
      </c>
      <c r="C114" s="11">
        <v>684</v>
      </c>
      <c r="D114" s="11">
        <f t="shared" si="12"/>
        <v>352</v>
      </c>
      <c r="E114" s="12">
        <v>0.51</v>
      </c>
      <c r="F114" s="12" t="str">
        <f t="shared" si="13"/>
        <v>HIGH DISCOUNT</v>
      </c>
      <c r="G114" s="10">
        <v>2</v>
      </c>
      <c r="H114" s="13">
        <v>5</v>
      </c>
      <c r="I114" s="10" t="str">
        <f t="shared" si="14"/>
        <v>EXCELLENT</v>
      </c>
      <c r="J114" s="10" t="str">
        <f t="shared" si="15"/>
        <v>LOW PRICE</v>
      </c>
    </row>
    <row r="115" spans="1:10" hidden="1" x14ac:dyDescent="0.35">
      <c r="B115" s="11"/>
      <c r="C115" s="11"/>
      <c r="D115" s="11"/>
      <c r="E115" s="12"/>
      <c r="F115" s="12"/>
      <c r="G115" s="10"/>
      <c r="H115" s="13"/>
      <c r="I115" s="10"/>
      <c r="J115" s="10"/>
    </row>
    <row r="116" spans="1:10" hidden="1" x14ac:dyDescent="0.35"/>
  </sheetData>
  <autoFilter ref="A1:U116" xr:uid="{B4EE8F9D-056F-4EEF-A2DF-F3161E8DB07A}">
    <filterColumn colId="7">
      <top10 top="0" val="10" filterVal="2.7"/>
    </filterColumn>
    <sortState xmlns:xlrd2="http://schemas.microsoft.com/office/spreadsheetml/2017/richdata2" ref="A2:U114">
      <sortCondition ref="H1:H116"/>
    </sortState>
  </autoFilter>
  <sortState xmlns:xlrd2="http://schemas.microsoft.com/office/spreadsheetml/2017/richdata2" ref="A2:U115">
    <sortCondition descending="1" ref="A1:A115"/>
  </sortState>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57AD3-10C3-4316-BFEC-86E483D579E7}">
  <sheetPr filterMode="1"/>
  <dimension ref="A1:J115"/>
  <sheetViews>
    <sheetView topLeftCell="A122" zoomScale="115" zoomScaleNormal="115" workbookViewId="0">
      <selection activeCell="D125" sqref="D125"/>
    </sheetView>
  </sheetViews>
  <sheetFormatPr defaultRowHeight="14.5" x14ac:dyDescent="0.35"/>
  <cols>
    <col min="1" max="1" width="74.36328125" customWidth="1"/>
    <col min="2" max="2" width="18.453125" style="3" bestFit="1" customWidth="1"/>
    <col min="3" max="3" width="11.1796875" style="3" bestFit="1" customWidth="1"/>
    <col min="4" max="4" width="16.26953125" style="3" bestFit="1" customWidth="1"/>
    <col min="5" max="5" width="10.36328125" style="1" bestFit="1" customWidth="1"/>
    <col min="6" max="6" width="20.26953125" style="1" bestFit="1" customWidth="1"/>
    <col min="8" max="8" width="9.1796875" style="4" bestFit="1" customWidth="1"/>
    <col min="9" max="9" width="18" bestFit="1" customWidth="1"/>
    <col min="10" max="10" width="16.36328125" bestFit="1" customWidth="1"/>
  </cols>
  <sheetData>
    <row r="1" spans="1:10" s="5" customFormat="1" ht="18.5" x14ac:dyDescent="0.45">
      <c r="A1" s="5" t="s">
        <v>0</v>
      </c>
      <c r="B1" s="7" t="s">
        <v>1</v>
      </c>
      <c r="C1" s="7" t="s">
        <v>326</v>
      </c>
      <c r="D1" s="7" t="s">
        <v>331</v>
      </c>
      <c r="E1" s="8" t="s">
        <v>3</v>
      </c>
      <c r="F1" s="8" t="s">
        <v>323</v>
      </c>
      <c r="G1" s="6" t="s">
        <v>4</v>
      </c>
      <c r="H1" s="9" t="s">
        <v>5</v>
      </c>
      <c r="I1" s="6" t="s">
        <v>324</v>
      </c>
      <c r="J1" s="6" t="s">
        <v>325</v>
      </c>
    </row>
    <row r="2" spans="1:10" x14ac:dyDescent="0.35">
      <c r="A2" t="s">
        <v>190</v>
      </c>
      <c r="B2" s="11">
        <v>2115</v>
      </c>
      <c r="C2" s="11">
        <v>4700</v>
      </c>
      <c r="D2" s="11">
        <f t="shared" ref="D2:D33" si="0">C2-B2</f>
        <v>2585</v>
      </c>
      <c r="E2" s="12">
        <v>0.55000000000000004</v>
      </c>
      <c r="F2" s="12" t="str">
        <f t="shared" ref="F2:F33" si="1">IF(E2&lt;20%,"LOW DISCOUNT",IF(E2&lt;40%,"MEDIUM DISCOUNT","HIGH DISCOUNT"))</f>
        <v>HIGH DISCOUNT</v>
      </c>
      <c r="G2" s="10">
        <v>13</v>
      </c>
      <c r="H2" s="13">
        <v>2.1</v>
      </c>
      <c r="I2" s="10" t="str">
        <f t="shared" ref="I2:I33" si="2">IF(ISBLANK(H2),"NOT PROVIDED",IF(H2&lt;3,"POOR",IF(H2&lt;4.5,"AVERAGE","EXCELLENT")))</f>
        <v>POOR</v>
      </c>
      <c r="J2" s="10" t="str">
        <f t="shared" ref="J2:J33" si="3">IF(B2&lt;1000,"LOW PRICE",IF(B2&lt;2000,"MEDIUM PRICE","HIGH PRICE"))</f>
        <v>HIGH PRICE</v>
      </c>
    </row>
    <row r="3" spans="1:10" x14ac:dyDescent="0.35">
      <c r="A3" t="s">
        <v>85</v>
      </c>
      <c r="B3" s="11">
        <v>2048</v>
      </c>
      <c r="C3" s="11">
        <v>4500</v>
      </c>
      <c r="D3" s="11">
        <f t="shared" si="0"/>
        <v>2452</v>
      </c>
      <c r="E3" s="12">
        <v>0.54</v>
      </c>
      <c r="F3" s="12" t="str">
        <f t="shared" si="1"/>
        <v>HIGH DISCOUNT</v>
      </c>
      <c r="G3" s="10">
        <v>7</v>
      </c>
      <c r="H3" s="13">
        <v>4.3</v>
      </c>
      <c r="I3" s="10" t="str">
        <f t="shared" si="2"/>
        <v>AVERAGE</v>
      </c>
      <c r="J3" s="10" t="str">
        <f t="shared" si="3"/>
        <v>HIGH PRICE</v>
      </c>
    </row>
    <row r="4" spans="1:10" x14ac:dyDescent="0.35">
      <c r="A4" t="s">
        <v>212</v>
      </c>
      <c r="B4" s="11">
        <v>3750</v>
      </c>
      <c r="C4" s="11">
        <v>6143</v>
      </c>
      <c r="D4" s="11">
        <f t="shared" si="0"/>
        <v>2393</v>
      </c>
      <c r="E4" s="12">
        <v>0.39</v>
      </c>
      <c r="F4" s="12" t="str">
        <f t="shared" si="1"/>
        <v>MEDIUM DISCOUNT</v>
      </c>
      <c r="G4" s="10">
        <v>5</v>
      </c>
      <c r="H4" s="13">
        <v>3</v>
      </c>
      <c r="I4" s="10" t="str">
        <f t="shared" si="2"/>
        <v>AVERAGE</v>
      </c>
      <c r="J4" s="10" t="str">
        <f t="shared" si="3"/>
        <v>HIGH PRICE</v>
      </c>
    </row>
    <row r="5" spans="1:10" x14ac:dyDescent="0.35">
      <c r="A5" t="s">
        <v>63</v>
      </c>
      <c r="B5" s="11">
        <v>2025</v>
      </c>
      <c r="C5" s="11">
        <v>3971</v>
      </c>
      <c r="D5" s="11">
        <f t="shared" si="0"/>
        <v>1946</v>
      </c>
      <c r="E5" s="12">
        <v>0.49</v>
      </c>
      <c r="F5" s="12" t="str">
        <f t="shared" si="1"/>
        <v>HIGH DISCOUNT</v>
      </c>
      <c r="G5" s="10">
        <v>3</v>
      </c>
      <c r="H5" s="13">
        <v>5</v>
      </c>
      <c r="I5" s="10" t="str">
        <f t="shared" si="2"/>
        <v>EXCELLENT</v>
      </c>
      <c r="J5" s="10" t="str">
        <f t="shared" si="3"/>
        <v>HIGH PRICE</v>
      </c>
    </row>
    <row r="6" spans="1:10" x14ac:dyDescent="0.35">
      <c r="A6" t="s">
        <v>99</v>
      </c>
      <c r="B6" s="11">
        <v>2200</v>
      </c>
      <c r="C6" s="11">
        <v>4080</v>
      </c>
      <c r="D6" s="11">
        <f t="shared" si="0"/>
        <v>1880</v>
      </c>
      <c r="E6" s="12">
        <v>0.46</v>
      </c>
      <c r="F6" s="12" t="str">
        <f t="shared" si="1"/>
        <v>HIGH DISCOUNT</v>
      </c>
      <c r="G6" s="10"/>
      <c r="H6" s="13"/>
      <c r="I6" s="10" t="str">
        <f t="shared" si="2"/>
        <v>NOT PROVIDED</v>
      </c>
      <c r="J6" s="10" t="str">
        <f t="shared" si="3"/>
        <v>HIGH PRICE</v>
      </c>
    </row>
    <row r="7" spans="1:10" x14ac:dyDescent="0.35">
      <c r="A7" t="s">
        <v>128</v>
      </c>
      <c r="B7" s="11">
        <v>2750</v>
      </c>
      <c r="C7" s="11">
        <v>4471</v>
      </c>
      <c r="D7" s="11">
        <f t="shared" si="0"/>
        <v>1721</v>
      </c>
      <c r="E7" s="12">
        <v>0.38</v>
      </c>
      <c r="F7" s="12" t="str">
        <f t="shared" si="1"/>
        <v>MEDIUM DISCOUNT</v>
      </c>
      <c r="G7" s="10"/>
      <c r="H7" s="13"/>
      <c r="I7" s="10" t="str">
        <f t="shared" si="2"/>
        <v>NOT PROVIDED</v>
      </c>
      <c r="J7" s="10" t="str">
        <f t="shared" si="3"/>
        <v>HIGH PRICE</v>
      </c>
    </row>
    <row r="8" spans="1:10" x14ac:dyDescent="0.35">
      <c r="A8" t="s">
        <v>108</v>
      </c>
      <c r="B8" s="11">
        <v>1820</v>
      </c>
      <c r="C8" s="11">
        <v>3490</v>
      </c>
      <c r="D8" s="11">
        <f t="shared" si="0"/>
        <v>1670</v>
      </c>
      <c r="E8" s="12">
        <v>0.48</v>
      </c>
      <c r="F8" s="12" t="str">
        <f t="shared" si="1"/>
        <v>HIGH DISCOUNT</v>
      </c>
      <c r="G8" s="10">
        <v>9</v>
      </c>
      <c r="H8" s="13">
        <v>4.3</v>
      </c>
      <c r="I8" s="10" t="str">
        <f t="shared" si="2"/>
        <v>AVERAGE</v>
      </c>
      <c r="J8" s="10" t="str">
        <f t="shared" si="3"/>
        <v>MEDIUM PRICE</v>
      </c>
    </row>
    <row r="9" spans="1:10" x14ac:dyDescent="0.35">
      <c r="A9" t="s">
        <v>35</v>
      </c>
      <c r="B9" s="11">
        <v>1274</v>
      </c>
      <c r="C9" s="11">
        <v>2800</v>
      </c>
      <c r="D9" s="11">
        <f t="shared" si="0"/>
        <v>1526</v>
      </c>
      <c r="E9" s="12">
        <v>0.55000000000000004</v>
      </c>
      <c r="F9" s="12" t="str">
        <f t="shared" si="1"/>
        <v>HIGH DISCOUNT</v>
      </c>
      <c r="G9" s="10">
        <v>5</v>
      </c>
      <c r="H9" s="13">
        <v>4.8</v>
      </c>
      <c r="I9" s="10" t="str">
        <f t="shared" si="2"/>
        <v>EXCELLENT</v>
      </c>
      <c r="J9" s="10" t="str">
        <f t="shared" si="3"/>
        <v>MEDIUM PRICE</v>
      </c>
    </row>
    <row r="10" spans="1:10" x14ac:dyDescent="0.35">
      <c r="A10" t="s">
        <v>229</v>
      </c>
      <c r="B10" s="11">
        <v>1570</v>
      </c>
      <c r="C10" s="11">
        <v>2988</v>
      </c>
      <c r="D10" s="11">
        <f t="shared" si="0"/>
        <v>1418</v>
      </c>
      <c r="E10" s="12">
        <v>0.47</v>
      </c>
      <c r="F10" s="12" t="str">
        <f t="shared" si="1"/>
        <v>HIGH DISCOUNT</v>
      </c>
      <c r="G10" s="10">
        <v>7</v>
      </c>
      <c r="H10" s="13">
        <v>2.1</v>
      </c>
      <c r="I10" s="10" t="str">
        <f t="shared" si="2"/>
        <v>POOR</v>
      </c>
      <c r="J10" s="10" t="str">
        <f t="shared" si="3"/>
        <v>MEDIUM PRICE</v>
      </c>
    </row>
    <row r="11" spans="1:10" x14ac:dyDescent="0.35">
      <c r="A11" t="s">
        <v>75</v>
      </c>
      <c r="B11" s="11">
        <v>1860</v>
      </c>
      <c r="C11" s="11">
        <v>3220</v>
      </c>
      <c r="D11" s="11">
        <f t="shared" si="0"/>
        <v>1360</v>
      </c>
      <c r="E11" s="12">
        <v>0.42</v>
      </c>
      <c r="F11" s="12" t="str">
        <f t="shared" si="1"/>
        <v>HIGH DISCOUNT</v>
      </c>
      <c r="G11" s="10"/>
      <c r="H11" s="13"/>
      <c r="I11" s="10" t="str">
        <f t="shared" si="2"/>
        <v>NOT PROVIDED</v>
      </c>
      <c r="J11" s="10" t="str">
        <f t="shared" si="3"/>
        <v>MEDIUM PRICE</v>
      </c>
    </row>
    <row r="12" spans="1:10" hidden="1" x14ac:dyDescent="0.35">
      <c r="A12" t="s">
        <v>38</v>
      </c>
      <c r="B12" s="11">
        <v>1600</v>
      </c>
      <c r="C12" s="11">
        <v>2929</v>
      </c>
      <c r="D12" s="11">
        <f t="shared" si="0"/>
        <v>1329</v>
      </c>
      <c r="E12" s="12">
        <v>0.45</v>
      </c>
      <c r="F12" s="12" t="str">
        <f t="shared" si="1"/>
        <v>HIGH DISCOUNT</v>
      </c>
      <c r="G12" s="10">
        <v>5</v>
      </c>
      <c r="H12" s="13">
        <v>3.8</v>
      </c>
      <c r="I12" s="10" t="str">
        <f t="shared" si="2"/>
        <v>AVERAGE</v>
      </c>
      <c r="J12" s="10" t="str">
        <f t="shared" si="3"/>
        <v>MEDIUM PRICE</v>
      </c>
    </row>
    <row r="13" spans="1:10" hidden="1" x14ac:dyDescent="0.35">
      <c r="A13" t="s">
        <v>333</v>
      </c>
      <c r="B13" s="11">
        <v>1980</v>
      </c>
      <c r="C13" s="11">
        <v>3200</v>
      </c>
      <c r="D13" s="11">
        <f t="shared" si="0"/>
        <v>1220</v>
      </c>
      <c r="E13" s="12">
        <v>0.38</v>
      </c>
      <c r="F13" s="12" t="str">
        <f t="shared" si="1"/>
        <v>MEDIUM DISCOUNT</v>
      </c>
      <c r="G13" s="10"/>
      <c r="H13" s="13"/>
      <c r="I13" s="10" t="str">
        <f t="shared" si="2"/>
        <v>NOT PROVIDED</v>
      </c>
      <c r="J13" s="10" t="str">
        <f t="shared" si="3"/>
        <v>MEDIUM PRICE</v>
      </c>
    </row>
    <row r="14" spans="1:10" hidden="1" x14ac:dyDescent="0.35">
      <c r="A14" t="s">
        <v>272</v>
      </c>
      <c r="B14" s="11">
        <v>1300</v>
      </c>
      <c r="C14" s="11">
        <v>2500</v>
      </c>
      <c r="D14" s="11">
        <f t="shared" si="0"/>
        <v>1200</v>
      </c>
      <c r="E14" s="12">
        <v>0.48</v>
      </c>
      <c r="F14" s="12" t="str">
        <f t="shared" si="1"/>
        <v>HIGH DISCOUNT</v>
      </c>
      <c r="G14" s="10"/>
      <c r="H14" s="13"/>
      <c r="I14" s="10" t="str">
        <f t="shared" si="2"/>
        <v>NOT PROVIDED</v>
      </c>
      <c r="J14" s="10" t="str">
        <f t="shared" si="3"/>
        <v>MEDIUM PRICE</v>
      </c>
    </row>
    <row r="15" spans="1:10" hidden="1" x14ac:dyDescent="0.35">
      <c r="A15" t="s">
        <v>278</v>
      </c>
      <c r="B15" s="11">
        <v>1200</v>
      </c>
      <c r="C15" s="11">
        <v>2400</v>
      </c>
      <c r="D15" s="11">
        <f t="shared" si="0"/>
        <v>1200</v>
      </c>
      <c r="E15" s="12">
        <v>0.5</v>
      </c>
      <c r="F15" s="12" t="str">
        <f t="shared" si="1"/>
        <v>HIGH DISCOUNT</v>
      </c>
      <c r="G15" s="10"/>
      <c r="H15" s="13"/>
      <c r="I15" s="10" t="str">
        <f t="shared" si="2"/>
        <v>NOT PROVIDED</v>
      </c>
      <c r="J15" s="10" t="str">
        <f t="shared" si="3"/>
        <v>MEDIUM PRICE</v>
      </c>
    </row>
    <row r="16" spans="1:10" hidden="1" x14ac:dyDescent="0.35">
      <c r="A16" t="s">
        <v>117</v>
      </c>
      <c r="B16" s="11">
        <v>1620</v>
      </c>
      <c r="C16" s="11">
        <v>2690</v>
      </c>
      <c r="D16" s="11">
        <f t="shared" si="0"/>
        <v>1070</v>
      </c>
      <c r="E16" s="12">
        <v>0.4</v>
      </c>
      <c r="F16" s="12" t="str">
        <f t="shared" si="1"/>
        <v>HIGH DISCOUNT</v>
      </c>
      <c r="G16" s="10">
        <v>1</v>
      </c>
      <c r="H16" s="13">
        <v>5</v>
      </c>
      <c r="I16" s="10" t="str">
        <f t="shared" si="2"/>
        <v>EXCELLENT</v>
      </c>
      <c r="J16" s="10" t="str">
        <f t="shared" si="3"/>
        <v>MEDIUM PRICE</v>
      </c>
    </row>
    <row r="17" spans="1:10" hidden="1" x14ac:dyDescent="0.35">
      <c r="A17" t="s">
        <v>177</v>
      </c>
      <c r="B17" s="11">
        <v>2799</v>
      </c>
      <c r="C17" s="11">
        <v>3810</v>
      </c>
      <c r="D17" s="11">
        <f t="shared" si="0"/>
        <v>1011</v>
      </c>
      <c r="E17" s="12">
        <v>0.27</v>
      </c>
      <c r="F17" s="12" t="str">
        <f t="shared" si="1"/>
        <v>MEDIUM DISCOUNT</v>
      </c>
      <c r="G17" s="10"/>
      <c r="H17" s="13"/>
      <c r="I17" s="10" t="str">
        <f t="shared" si="2"/>
        <v>NOT PROVIDED</v>
      </c>
      <c r="J17" s="10" t="str">
        <f t="shared" si="3"/>
        <v>HIGH PRICE</v>
      </c>
    </row>
    <row r="18" spans="1:10" hidden="1" x14ac:dyDescent="0.35">
      <c r="A18" t="s">
        <v>243</v>
      </c>
      <c r="B18" s="11">
        <v>1189</v>
      </c>
      <c r="C18" s="11">
        <v>2199</v>
      </c>
      <c r="D18" s="11">
        <f t="shared" si="0"/>
        <v>1010</v>
      </c>
      <c r="E18" s="12">
        <v>0.46</v>
      </c>
      <c r="F18" s="12" t="str">
        <f t="shared" si="1"/>
        <v>HIGH DISCOUNT</v>
      </c>
      <c r="G18" s="10">
        <v>1</v>
      </c>
      <c r="H18" s="13">
        <v>3</v>
      </c>
      <c r="I18" s="10" t="str">
        <f t="shared" si="2"/>
        <v>AVERAGE</v>
      </c>
      <c r="J18" s="10" t="str">
        <f t="shared" si="3"/>
        <v>MEDIUM PRICE</v>
      </c>
    </row>
    <row r="19" spans="1:10" hidden="1" x14ac:dyDescent="0.35">
      <c r="A19" t="s">
        <v>143</v>
      </c>
      <c r="B19" s="11">
        <v>999</v>
      </c>
      <c r="C19" s="11">
        <v>2000</v>
      </c>
      <c r="D19" s="11">
        <f t="shared" si="0"/>
        <v>1001</v>
      </c>
      <c r="E19" s="12">
        <v>0.5</v>
      </c>
      <c r="F19" s="12" t="str">
        <f t="shared" si="1"/>
        <v>HIGH DISCOUNT</v>
      </c>
      <c r="G19" s="10"/>
      <c r="H19" s="13"/>
      <c r="I19" s="10" t="str">
        <f t="shared" si="2"/>
        <v>NOT PROVIDED</v>
      </c>
      <c r="J19" s="10" t="str">
        <f t="shared" si="3"/>
        <v>LOW PRICE</v>
      </c>
    </row>
    <row r="20" spans="1:10" hidden="1" x14ac:dyDescent="0.35">
      <c r="A20" t="s">
        <v>209</v>
      </c>
      <c r="B20" s="11">
        <v>1000</v>
      </c>
      <c r="C20" s="11">
        <v>2000</v>
      </c>
      <c r="D20" s="11">
        <f t="shared" si="0"/>
        <v>1000</v>
      </c>
      <c r="E20" s="12">
        <v>0.5</v>
      </c>
      <c r="F20" s="12" t="str">
        <f t="shared" si="1"/>
        <v>HIGH DISCOUNT</v>
      </c>
      <c r="G20" s="10">
        <v>7</v>
      </c>
      <c r="H20" s="13">
        <v>2.2999999999999998</v>
      </c>
      <c r="I20" s="10" t="str">
        <f t="shared" si="2"/>
        <v>POOR</v>
      </c>
      <c r="J20" s="10" t="str">
        <f t="shared" si="3"/>
        <v>MEDIUM PRICE</v>
      </c>
    </row>
    <row r="21" spans="1:10" hidden="1" x14ac:dyDescent="0.35">
      <c r="A21" t="s">
        <v>298</v>
      </c>
      <c r="B21" s="11">
        <v>1420</v>
      </c>
      <c r="C21" s="11">
        <v>2420</v>
      </c>
      <c r="D21" s="11">
        <f t="shared" si="0"/>
        <v>1000</v>
      </c>
      <c r="E21" s="12">
        <v>0.41</v>
      </c>
      <c r="F21" s="12" t="str">
        <f t="shared" si="1"/>
        <v>HIGH DISCOUNT</v>
      </c>
      <c r="G21" s="10"/>
      <c r="H21" s="13"/>
      <c r="I21" s="10" t="str">
        <f t="shared" si="2"/>
        <v>NOT PROVIDED</v>
      </c>
      <c r="J21" s="10" t="str">
        <f t="shared" si="3"/>
        <v>MEDIUM PRICE</v>
      </c>
    </row>
    <row r="22" spans="1:10" hidden="1" x14ac:dyDescent="0.35">
      <c r="A22" t="s">
        <v>68</v>
      </c>
      <c r="B22" s="11">
        <v>998</v>
      </c>
      <c r="C22" s="11">
        <v>1966</v>
      </c>
      <c r="D22" s="11">
        <f t="shared" si="0"/>
        <v>968</v>
      </c>
      <c r="E22" s="12">
        <v>0.49</v>
      </c>
      <c r="F22" s="12" t="str">
        <f t="shared" si="1"/>
        <v>HIGH DISCOUNT</v>
      </c>
      <c r="G22" s="10">
        <v>44</v>
      </c>
      <c r="H22" s="13">
        <v>4.5999999999999996</v>
      </c>
      <c r="I22" s="10" t="str">
        <f t="shared" si="2"/>
        <v>EXCELLENT</v>
      </c>
      <c r="J22" s="10" t="str">
        <f t="shared" si="3"/>
        <v>LOW PRICE</v>
      </c>
    </row>
    <row r="23" spans="1:10" hidden="1" x14ac:dyDescent="0.35">
      <c r="A23" t="s">
        <v>295</v>
      </c>
      <c r="B23" s="11">
        <v>3640</v>
      </c>
      <c r="C23" s="11">
        <v>4588</v>
      </c>
      <c r="D23" s="11">
        <f t="shared" si="0"/>
        <v>948</v>
      </c>
      <c r="E23" s="12">
        <v>0.21</v>
      </c>
      <c r="F23" s="12" t="str">
        <f t="shared" si="1"/>
        <v>MEDIUM DISCOUNT</v>
      </c>
      <c r="G23" s="10">
        <v>1</v>
      </c>
      <c r="H23" s="13">
        <v>5</v>
      </c>
      <c r="I23" s="10" t="str">
        <f t="shared" si="2"/>
        <v>EXCELLENT</v>
      </c>
      <c r="J23" s="10" t="str">
        <f t="shared" si="3"/>
        <v>HIGH PRICE</v>
      </c>
    </row>
    <row r="24" spans="1:10" hidden="1" x14ac:dyDescent="0.35">
      <c r="A24" t="s">
        <v>245</v>
      </c>
      <c r="B24" s="11">
        <v>979</v>
      </c>
      <c r="C24" s="11">
        <v>1920</v>
      </c>
      <c r="D24" s="11">
        <f t="shared" si="0"/>
        <v>941</v>
      </c>
      <c r="E24" s="12">
        <v>0.49</v>
      </c>
      <c r="F24" s="12" t="str">
        <f t="shared" si="1"/>
        <v>HIGH DISCOUNT</v>
      </c>
      <c r="G24" s="10">
        <v>1</v>
      </c>
      <c r="H24" s="13">
        <v>5</v>
      </c>
      <c r="I24" s="10" t="str">
        <f t="shared" si="2"/>
        <v>EXCELLENT</v>
      </c>
      <c r="J24" s="10" t="str">
        <f t="shared" si="3"/>
        <v>LOW PRICE</v>
      </c>
    </row>
    <row r="25" spans="1:10" hidden="1" x14ac:dyDescent="0.35">
      <c r="A25" t="s">
        <v>218</v>
      </c>
      <c r="B25" s="11">
        <v>2300</v>
      </c>
      <c r="C25" s="11">
        <v>3240</v>
      </c>
      <c r="D25" s="11">
        <f t="shared" si="0"/>
        <v>940</v>
      </c>
      <c r="E25" s="12">
        <v>0.28999999999999998</v>
      </c>
      <c r="F25" s="12" t="str">
        <f t="shared" si="1"/>
        <v>MEDIUM DISCOUNT</v>
      </c>
      <c r="G25" s="10">
        <v>5</v>
      </c>
      <c r="H25" s="13">
        <v>3</v>
      </c>
      <c r="I25" s="10" t="str">
        <f t="shared" si="2"/>
        <v>AVERAGE</v>
      </c>
      <c r="J25" s="10" t="str">
        <f t="shared" si="3"/>
        <v>HIGH PRICE</v>
      </c>
    </row>
    <row r="26" spans="1:10" hidden="1" x14ac:dyDescent="0.35">
      <c r="A26" t="s">
        <v>18</v>
      </c>
      <c r="B26" s="11">
        <v>1580</v>
      </c>
      <c r="C26" s="11">
        <v>2499</v>
      </c>
      <c r="D26" s="11">
        <f t="shared" si="0"/>
        <v>919</v>
      </c>
      <c r="E26" s="12">
        <v>0.37</v>
      </c>
      <c r="F26" s="12" t="str">
        <f t="shared" si="1"/>
        <v>MEDIUM DISCOUNT</v>
      </c>
      <c r="G26" s="10">
        <v>7</v>
      </c>
      <c r="H26" s="13">
        <v>4.7</v>
      </c>
      <c r="I26" s="10" t="str">
        <f t="shared" si="2"/>
        <v>EXCELLENT</v>
      </c>
      <c r="J26" s="10" t="str">
        <f t="shared" si="3"/>
        <v>MEDIUM PRICE</v>
      </c>
    </row>
    <row r="27" spans="1:10" hidden="1" x14ac:dyDescent="0.35">
      <c r="A27" t="s">
        <v>269</v>
      </c>
      <c r="B27" s="11">
        <v>850</v>
      </c>
      <c r="C27" s="11">
        <v>1700</v>
      </c>
      <c r="D27" s="11">
        <f t="shared" si="0"/>
        <v>850</v>
      </c>
      <c r="E27" s="12">
        <v>0.5</v>
      </c>
      <c r="F27" s="12" t="str">
        <f t="shared" si="1"/>
        <v>HIGH DISCOUNT</v>
      </c>
      <c r="G27" s="10"/>
      <c r="H27" s="13"/>
      <c r="I27" s="10" t="str">
        <f t="shared" si="2"/>
        <v>NOT PROVIDED</v>
      </c>
      <c r="J27" s="10" t="str">
        <f t="shared" si="3"/>
        <v>LOW PRICE</v>
      </c>
    </row>
    <row r="28" spans="1:10" hidden="1" x14ac:dyDescent="0.35">
      <c r="A28" t="s">
        <v>227</v>
      </c>
      <c r="B28" s="11">
        <v>968</v>
      </c>
      <c r="C28" s="11">
        <v>1814</v>
      </c>
      <c r="D28" s="11">
        <f t="shared" si="0"/>
        <v>846</v>
      </c>
      <c r="E28" s="12">
        <v>0.47</v>
      </c>
      <c r="F28" s="12" t="str">
        <f t="shared" si="1"/>
        <v>HIGH DISCOUNT</v>
      </c>
      <c r="G28" s="10">
        <v>6</v>
      </c>
      <c r="H28" s="13">
        <v>2.2000000000000002</v>
      </c>
      <c r="I28" s="10" t="str">
        <f t="shared" si="2"/>
        <v>POOR</v>
      </c>
      <c r="J28" s="10" t="str">
        <f t="shared" si="3"/>
        <v>LOW PRICE</v>
      </c>
    </row>
    <row r="29" spans="1:10" hidden="1" x14ac:dyDescent="0.35">
      <c r="A29" t="s">
        <v>248</v>
      </c>
      <c r="B29" s="11">
        <v>1460</v>
      </c>
      <c r="C29" s="11">
        <v>2290</v>
      </c>
      <c r="D29" s="11">
        <f t="shared" si="0"/>
        <v>830</v>
      </c>
      <c r="E29" s="12">
        <v>0.36</v>
      </c>
      <c r="F29" s="12" t="str">
        <f t="shared" si="1"/>
        <v>MEDIUM DISCOUNT</v>
      </c>
      <c r="G29" s="10"/>
      <c r="H29" s="13"/>
      <c r="I29" s="10" t="str">
        <f t="shared" si="2"/>
        <v>NOT PROVIDED</v>
      </c>
      <c r="J29" s="10" t="str">
        <f t="shared" si="3"/>
        <v>MEDIUM PRICE</v>
      </c>
    </row>
    <row r="30" spans="1:10" hidden="1" x14ac:dyDescent="0.35">
      <c r="A30" t="s">
        <v>206</v>
      </c>
      <c r="B30" s="11">
        <v>990</v>
      </c>
      <c r="C30" s="11">
        <v>1814</v>
      </c>
      <c r="D30" s="11">
        <f t="shared" si="0"/>
        <v>824</v>
      </c>
      <c r="E30" s="12">
        <v>0.45</v>
      </c>
      <c r="F30" s="12" t="str">
        <f t="shared" si="1"/>
        <v>HIGH DISCOUNT</v>
      </c>
      <c r="G30" s="10">
        <v>6</v>
      </c>
      <c r="H30" s="13">
        <v>2.2000000000000002</v>
      </c>
      <c r="I30" s="10" t="str">
        <f t="shared" si="2"/>
        <v>POOR</v>
      </c>
      <c r="J30" s="10" t="str">
        <f t="shared" si="3"/>
        <v>LOW PRICE</v>
      </c>
    </row>
    <row r="31" spans="1:10" hidden="1" x14ac:dyDescent="0.35">
      <c r="A31" t="s">
        <v>53</v>
      </c>
      <c r="B31" s="11">
        <v>1680</v>
      </c>
      <c r="C31" s="11">
        <v>2499</v>
      </c>
      <c r="D31" s="11">
        <f t="shared" si="0"/>
        <v>819</v>
      </c>
      <c r="E31" s="12">
        <v>0.33</v>
      </c>
      <c r="F31" s="12" t="str">
        <f t="shared" si="1"/>
        <v>MEDIUM DISCOUNT</v>
      </c>
      <c r="G31" s="10">
        <v>9</v>
      </c>
      <c r="H31" s="13">
        <v>4.2</v>
      </c>
      <c r="I31" s="10" t="str">
        <f t="shared" si="2"/>
        <v>AVERAGE</v>
      </c>
      <c r="J31" s="10" t="str">
        <f t="shared" si="3"/>
        <v>MEDIUM PRICE</v>
      </c>
    </row>
    <row r="32" spans="1:10" hidden="1" x14ac:dyDescent="0.35">
      <c r="A32" t="s">
        <v>277</v>
      </c>
      <c r="B32" s="11">
        <v>899</v>
      </c>
      <c r="C32" s="11">
        <v>1699</v>
      </c>
      <c r="D32" s="11">
        <f t="shared" si="0"/>
        <v>800</v>
      </c>
      <c r="E32" s="12">
        <v>0.47</v>
      </c>
      <c r="F32" s="12" t="str">
        <f t="shared" si="1"/>
        <v>HIGH DISCOUNT</v>
      </c>
      <c r="G32" s="10"/>
      <c r="H32" s="13"/>
      <c r="I32" s="10" t="str">
        <f t="shared" si="2"/>
        <v>NOT PROVIDED</v>
      </c>
      <c r="J32" s="10" t="str">
        <f t="shared" si="3"/>
        <v>LOW PRICE</v>
      </c>
    </row>
    <row r="33" spans="1:10" hidden="1" x14ac:dyDescent="0.35">
      <c r="A33" t="s">
        <v>292</v>
      </c>
      <c r="B33" s="11">
        <v>1080</v>
      </c>
      <c r="C33" s="11">
        <v>1874</v>
      </c>
      <c r="D33" s="11">
        <f t="shared" si="0"/>
        <v>794</v>
      </c>
      <c r="E33" s="12">
        <v>0.42</v>
      </c>
      <c r="F33" s="12" t="str">
        <f t="shared" si="1"/>
        <v>HIGH DISCOUNT</v>
      </c>
      <c r="G33" s="10"/>
      <c r="H33" s="13"/>
      <c r="I33" s="10" t="str">
        <f t="shared" si="2"/>
        <v>NOT PROVIDED</v>
      </c>
      <c r="J33" s="10" t="str">
        <f t="shared" si="3"/>
        <v>MEDIUM PRICE</v>
      </c>
    </row>
    <row r="34" spans="1:10" hidden="1" x14ac:dyDescent="0.35">
      <c r="A34" t="s">
        <v>175</v>
      </c>
      <c r="B34" s="11">
        <v>799</v>
      </c>
      <c r="C34" s="11">
        <v>1567</v>
      </c>
      <c r="D34" s="11">
        <f t="shared" ref="D34:D65" si="4">C34-B34</f>
        <v>768</v>
      </c>
      <c r="E34" s="12">
        <v>0.49</v>
      </c>
      <c r="F34" s="12" t="str">
        <f t="shared" ref="F34:F65" si="5">IF(E34&lt;20%,"LOW DISCOUNT",IF(E34&lt;40%,"MEDIUM DISCOUNT","HIGH DISCOUNT"))</f>
        <v>HIGH DISCOUNT</v>
      </c>
      <c r="G34" s="10"/>
      <c r="H34" s="13"/>
      <c r="I34" s="10" t="str">
        <f t="shared" ref="I34:I65" si="6">IF(ISBLANK(H34),"NOT PROVIDED",IF(H34&lt;3,"POOR",IF(H34&lt;4.5,"AVERAGE","EXCELLENT")))</f>
        <v>NOT PROVIDED</v>
      </c>
      <c r="J34" s="10" t="str">
        <f t="shared" ref="J34:J65" si="7">IF(B34&lt;1000,"LOW PRICE",IF(B34&lt;2000,"MEDIUM PRICE","HIGH PRICE"))</f>
        <v>LOW PRICE</v>
      </c>
    </row>
    <row r="35" spans="1:10" hidden="1" x14ac:dyDescent="0.35">
      <c r="A35" t="s">
        <v>151</v>
      </c>
      <c r="B35" s="11">
        <v>1200</v>
      </c>
      <c r="C35" s="11">
        <v>1950</v>
      </c>
      <c r="D35" s="11">
        <f t="shared" si="4"/>
        <v>750</v>
      </c>
      <c r="E35" s="12">
        <v>0.38</v>
      </c>
      <c r="F35" s="12" t="str">
        <f t="shared" si="5"/>
        <v>MEDIUM DISCOUNT</v>
      </c>
      <c r="G35" s="10"/>
      <c r="H35" s="13"/>
      <c r="I35" s="10" t="str">
        <f t="shared" si="6"/>
        <v>NOT PROVIDED</v>
      </c>
      <c r="J35" s="10" t="str">
        <f t="shared" si="7"/>
        <v>MEDIUM PRICE</v>
      </c>
    </row>
    <row r="36" spans="1:10" hidden="1" x14ac:dyDescent="0.35">
      <c r="A36" t="s">
        <v>97</v>
      </c>
      <c r="B36" s="11">
        <v>1758</v>
      </c>
      <c r="C36" s="11">
        <v>2499</v>
      </c>
      <c r="D36" s="11">
        <f t="shared" si="4"/>
        <v>741</v>
      </c>
      <c r="E36" s="12">
        <v>0.3</v>
      </c>
      <c r="F36" s="12" t="str">
        <f t="shared" si="5"/>
        <v>MEDIUM DISCOUNT</v>
      </c>
      <c r="G36" s="10">
        <v>20</v>
      </c>
      <c r="H36" s="13">
        <v>4.0999999999999996</v>
      </c>
      <c r="I36" s="10" t="str">
        <f t="shared" si="6"/>
        <v>AVERAGE</v>
      </c>
      <c r="J36" s="10" t="str">
        <f t="shared" si="7"/>
        <v>MEDIUM PRICE</v>
      </c>
    </row>
    <row r="37" spans="1:10" hidden="1" x14ac:dyDescent="0.35">
      <c r="A37" t="s">
        <v>14</v>
      </c>
      <c r="B37" s="11">
        <v>2199</v>
      </c>
      <c r="C37" s="11">
        <v>2923</v>
      </c>
      <c r="D37" s="11">
        <f t="shared" si="4"/>
        <v>724</v>
      </c>
      <c r="E37" s="12">
        <v>0.25</v>
      </c>
      <c r="F37" s="12" t="str">
        <f t="shared" si="5"/>
        <v>MEDIUM DISCOUNT</v>
      </c>
      <c r="G37" s="10">
        <v>24</v>
      </c>
      <c r="H37" s="13">
        <v>4.5999999999999996</v>
      </c>
      <c r="I37" s="10" t="str">
        <f t="shared" si="6"/>
        <v>EXCELLENT</v>
      </c>
      <c r="J37" s="10" t="str">
        <f t="shared" si="7"/>
        <v>HIGH PRICE</v>
      </c>
    </row>
    <row r="38" spans="1:10" hidden="1" x14ac:dyDescent="0.35">
      <c r="A38" t="s">
        <v>114</v>
      </c>
      <c r="B38" s="11">
        <v>1980</v>
      </c>
      <c r="C38" s="11">
        <v>2699</v>
      </c>
      <c r="D38" s="11">
        <f t="shared" si="4"/>
        <v>719</v>
      </c>
      <c r="E38" s="12">
        <v>0.27</v>
      </c>
      <c r="F38" s="12" t="str">
        <f t="shared" si="5"/>
        <v>MEDIUM DISCOUNT</v>
      </c>
      <c r="G38" s="10">
        <v>32</v>
      </c>
      <c r="H38" s="13">
        <v>4.5</v>
      </c>
      <c r="I38" s="10" t="str">
        <f t="shared" si="6"/>
        <v>EXCELLENT</v>
      </c>
      <c r="J38" s="10" t="str">
        <f t="shared" si="7"/>
        <v>MEDIUM PRICE</v>
      </c>
    </row>
    <row r="39" spans="1:10" hidden="1" x14ac:dyDescent="0.35">
      <c r="A39" t="s">
        <v>30</v>
      </c>
      <c r="B39" s="11">
        <v>2319</v>
      </c>
      <c r="C39" s="11">
        <v>3032</v>
      </c>
      <c r="D39" s="11">
        <f t="shared" si="4"/>
        <v>713</v>
      </c>
      <c r="E39" s="12">
        <v>0.24</v>
      </c>
      <c r="F39" s="12" t="str">
        <f t="shared" si="5"/>
        <v>MEDIUM DISCOUNT</v>
      </c>
      <c r="G39" s="10">
        <v>55</v>
      </c>
      <c r="H39" s="13">
        <v>4.5999999999999996</v>
      </c>
      <c r="I39" s="10" t="str">
        <f t="shared" si="6"/>
        <v>EXCELLENT</v>
      </c>
      <c r="J39" s="10" t="str">
        <f t="shared" si="7"/>
        <v>HIGH PRICE</v>
      </c>
    </row>
    <row r="40" spans="1:10" hidden="1" x14ac:dyDescent="0.35">
      <c r="A40" t="s">
        <v>111</v>
      </c>
      <c r="B40" s="11">
        <v>1940</v>
      </c>
      <c r="C40" s="11">
        <v>2650</v>
      </c>
      <c r="D40" s="11">
        <f t="shared" si="4"/>
        <v>710</v>
      </c>
      <c r="E40" s="12">
        <v>0.27</v>
      </c>
      <c r="F40" s="12" t="str">
        <f t="shared" si="5"/>
        <v>MEDIUM DISCOUNT</v>
      </c>
      <c r="G40" s="10">
        <v>20</v>
      </c>
      <c r="H40" s="13">
        <v>4.7</v>
      </c>
      <c r="I40" s="10" t="str">
        <f t="shared" si="6"/>
        <v>EXCELLENT</v>
      </c>
      <c r="J40" s="10" t="str">
        <f t="shared" si="7"/>
        <v>MEDIUM PRICE</v>
      </c>
    </row>
    <row r="41" spans="1:10" hidden="1" x14ac:dyDescent="0.35">
      <c r="A41" t="s">
        <v>66</v>
      </c>
      <c r="B41" s="11">
        <v>2999</v>
      </c>
      <c r="C41" s="11">
        <v>3699</v>
      </c>
      <c r="D41" s="11">
        <f t="shared" si="4"/>
        <v>700</v>
      </c>
      <c r="E41" s="12">
        <v>0.19</v>
      </c>
      <c r="F41" s="12" t="str">
        <f t="shared" si="5"/>
        <v>LOW DISCOUNT</v>
      </c>
      <c r="G41" s="10">
        <v>5</v>
      </c>
      <c r="H41" s="13">
        <v>4.5999999999999996</v>
      </c>
      <c r="I41" s="10" t="str">
        <f t="shared" si="6"/>
        <v>EXCELLENT</v>
      </c>
      <c r="J41" s="10" t="str">
        <f t="shared" si="7"/>
        <v>HIGH PRICE</v>
      </c>
    </row>
    <row r="42" spans="1:10" hidden="1" x14ac:dyDescent="0.35">
      <c r="A42" t="s">
        <v>232</v>
      </c>
      <c r="B42" s="11">
        <v>790</v>
      </c>
      <c r="C42" s="11">
        <v>1485</v>
      </c>
      <c r="D42" s="11">
        <f t="shared" si="4"/>
        <v>695</v>
      </c>
      <c r="E42" s="12">
        <v>0.47</v>
      </c>
      <c r="F42" s="12" t="str">
        <f t="shared" si="5"/>
        <v>HIGH DISCOUNT</v>
      </c>
      <c r="G42" s="10"/>
      <c r="H42" s="13"/>
      <c r="I42" s="10" t="str">
        <f t="shared" si="6"/>
        <v>NOT PROVIDED</v>
      </c>
      <c r="J42" s="10" t="str">
        <f t="shared" si="7"/>
        <v>LOW PRICE</v>
      </c>
    </row>
    <row r="43" spans="1:10" hidden="1" x14ac:dyDescent="0.35">
      <c r="A43" t="s">
        <v>148</v>
      </c>
      <c r="B43" s="11">
        <v>671</v>
      </c>
      <c r="C43" s="11">
        <v>1316</v>
      </c>
      <c r="D43" s="11">
        <f t="shared" si="4"/>
        <v>645</v>
      </c>
      <c r="E43" s="12">
        <v>0.49</v>
      </c>
      <c r="F43" s="12" t="str">
        <f t="shared" si="5"/>
        <v>HIGH DISCOUNT</v>
      </c>
      <c r="G43" s="10"/>
      <c r="H43" s="13"/>
      <c r="I43" s="10" t="str">
        <f t="shared" si="6"/>
        <v>NOT PROVIDED</v>
      </c>
      <c r="J43" s="10" t="str">
        <f t="shared" si="7"/>
        <v>LOW PRICE</v>
      </c>
    </row>
    <row r="44" spans="1:10" hidden="1" x14ac:dyDescent="0.35">
      <c r="A44" t="s">
        <v>173</v>
      </c>
      <c r="B44" s="11">
        <v>699</v>
      </c>
      <c r="C44" s="11">
        <v>1343</v>
      </c>
      <c r="D44" s="11">
        <f t="shared" si="4"/>
        <v>644</v>
      </c>
      <c r="E44" s="12">
        <v>0.48</v>
      </c>
      <c r="F44" s="12" t="str">
        <f t="shared" si="5"/>
        <v>HIGH DISCOUNT</v>
      </c>
      <c r="G44" s="10"/>
      <c r="H44" s="13"/>
      <c r="I44" s="10" t="str">
        <f t="shared" si="6"/>
        <v>NOT PROVIDED</v>
      </c>
      <c r="J44" s="10" t="str">
        <f t="shared" si="7"/>
        <v>LOW PRICE</v>
      </c>
    </row>
    <row r="45" spans="1:10" hidden="1" x14ac:dyDescent="0.35">
      <c r="A45" t="s">
        <v>92</v>
      </c>
      <c r="B45" s="11">
        <v>2880</v>
      </c>
      <c r="C45" s="11">
        <v>3520</v>
      </c>
      <c r="D45" s="11">
        <f t="shared" si="4"/>
        <v>640</v>
      </c>
      <c r="E45" s="12">
        <v>0.18</v>
      </c>
      <c r="F45" s="12" t="str">
        <f t="shared" si="5"/>
        <v>LOW DISCOUNT</v>
      </c>
      <c r="G45" s="10">
        <v>12</v>
      </c>
      <c r="H45" s="13">
        <v>3.8</v>
      </c>
      <c r="I45" s="10" t="str">
        <f t="shared" si="6"/>
        <v>AVERAGE</v>
      </c>
      <c r="J45" s="10" t="str">
        <f t="shared" si="7"/>
        <v>HIGH PRICE</v>
      </c>
    </row>
    <row r="46" spans="1:10" hidden="1" x14ac:dyDescent="0.35">
      <c r="A46" t="s">
        <v>95</v>
      </c>
      <c r="B46" s="11">
        <v>1350</v>
      </c>
      <c r="C46" s="11">
        <v>1990</v>
      </c>
      <c r="D46" s="11">
        <f t="shared" si="4"/>
        <v>640</v>
      </c>
      <c r="E46" s="12">
        <v>0.32</v>
      </c>
      <c r="F46" s="12" t="str">
        <f t="shared" si="5"/>
        <v>MEDIUM DISCOUNT</v>
      </c>
      <c r="G46" s="10">
        <v>13</v>
      </c>
      <c r="H46" s="13">
        <v>3.8</v>
      </c>
      <c r="I46" s="10" t="str">
        <f t="shared" si="6"/>
        <v>AVERAGE</v>
      </c>
      <c r="J46" s="10" t="str">
        <f t="shared" si="7"/>
        <v>MEDIUM PRICE</v>
      </c>
    </row>
    <row r="47" spans="1:10" hidden="1" x14ac:dyDescent="0.35">
      <c r="A47" t="s">
        <v>175</v>
      </c>
      <c r="B47" s="11">
        <v>657</v>
      </c>
      <c r="C47" s="11">
        <v>1288</v>
      </c>
      <c r="D47" s="11">
        <f t="shared" si="4"/>
        <v>631</v>
      </c>
      <c r="E47" s="12">
        <v>0.49</v>
      </c>
      <c r="F47" s="12" t="str">
        <f t="shared" si="5"/>
        <v>HIGH DISCOUNT</v>
      </c>
      <c r="G47" s="10"/>
      <c r="H47" s="13"/>
      <c r="I47" s="10" t="str">
        <f t="shared" si="6"/>
        <v>NOT PROVIDED</v>
      </c>
      <c r="J47" s="10" t="str">
        <f t="shared" si="7"/>
        <v>LOW PRICE</v>
      </c>
    </row>
    <row r="48" spans="1:10" hidden="1" x14ac:dyDescent="0.35">
      <c r="A48" t="s">
        <v>310</v>
      </c>
      <c r="B48" s="11">
        <v>1190</v>
      </c>
      <c r="C48" s="11">
        <v>1810</v>
      </c>
      <c r="D48" s="11">
        <f t="shared" si="4"/>
        <v>620</v>
      </c>
      <c r="E48" s="12">
        <v>0.34</v>
      </c>
      <c r="F48" s="12" t="str">
        <f t="shared" si="5"/>
        <v>MEDIUM DISCOUNT</v>
      </c>
      <c r="G48" s="10"/>
      <c r="H48" s="13"/>
      <c r="I48" s="10" t="str">
        <f t="shared" si="6"/>
        <v>NOT PROVIDED</v>
      </c>
      <c r="J48" s="10" t="str">
        <f t="shared" si="7"/>
        <v>MEDIUM PRICE</v>
      </c>
    </row>
    <row r="49" spans="1:10" hidden="1" x14ac:dyDescent="0.35">
      <c r="A49" t="s">
        <v>22</v>
      </c>
      <c r="B49" s="11">
        <v>1740</v>
      </c>
      <c r="C49" s="11">
        <v>2356</v>
      </c>
      <c r="D49" s="11">
        <f t="shared" si="4"/>
        <v>616</v>
      </c>
      <c r="E49" s="12">
        <v>0.26</v>
      </c>
      <c r="F49" s="12" t="str">
        <f t="shared" si="5"/>
        <v>MEDIUM DISCOUNT</v>
      </c>
      <c r="G49" s="10">
        <v>5</v>
      </c>
      <c r="H49" s="13">
        <v>4.8</v>
      </c>
      <c r="I49" s="10" t="str">
        <f t="shared" si="6"/>
        <v>EXCELLENT</v>
      </c>
      <c r="J49" s="10" t="str">
        <f t="shared" si="7"/>
        <v>MEDIUM PRICE</v>
      </c>
    </row>
    <row r="50" spans="1:10" hidden="1" x14ac:dyDescent="0.35">
      <c r="A50" t="s">
        <v>145</v>
      </c>
      <c r="B50" s="11">
        <v>1190</v>
      </c>
      <c r="C50" s="11">
        <v>1785</v>
      </c>
      <c r="D50" s="11">
        <f t="shared" si="4"/>
        <v>595</v>
      </c>
      <c r="E50" s="12">
        <v>0.33</v>
      </c>
      <c r="F50" s="12" t="str">
        <f t="shared" si="5"/>
        <v>MEDIUM DISCOUNT</v>
      </c>
      <c r="G50" s="10"/>
      <c r="H50" s="13"/>
      <c r="I50" s="10" t="str">
        <f t="shared" si="6"/>
        <v>NOT PROVIDED</v>
      </c>
      <c r="J50" s="10" t="str">
        <f t="shared" si="7"/>
        <v>MEDIUM PRICE</v>
      </c>
    </row>
    <row r="51" spans="1:10" hidden="1" x14ac:dyDescent="0.35">
      <c r="A51" t="s">
        <v>33</v>
      </c>
      <c r="B51" s="11">
        <v>988</v>
      </c>
      <c r="C51" s="11">
        <v>1580</v>
      </c>
      <c r="D51" s="11">
        <f t="shared" si="4"/>
        <v>592</v>
      </c>
      <c r="E51" s="12">
        <v>0.37</v>
      </c>
      <c r="F51" s="12" t="str">
        <f t="shared" si="5"/>
        <v>MEDIUM DISCOUNT</v>
      </c>
      <c r="G51" s="10">
        <v>2</v>
      </c>
      <c r="H51" s="13">
        <v>4</v>
      </c>
      <c r="I51" s="10" t="str">
        <f t="shared" si="6"/>
        <v>AVERAGE</v>
      </c>
      <c r="J51" s="10" t="str">
        <f t="shared" si="7"/>
        <v>LOW PRICE</v>
      </c>
    </row>
    <row r="52" spans="1:10" hidden="1" x14ac:dyDescent="0.35">
      <c r="A52" t="s">
        <v>307</v>
      </c>
      <c r="B52" s="11">
        <v>1150</v>
      </c>
      <c r="C52" s="11">
        <v>1737</v>
      </c>
      <c r="D52" s="11">
        <f t="shared" si="4"/>
        <v>587</v>
      </c>
      <c r="E52" s="12">
        <v>0.34</v>
      </c>
      <c r="F52" s="12" t="str">
        <f t="shared" si="5"/>
        <v>MEDIUM DISCOUNT</v>
      </c>
      <c r="G52" s="10"/>
      <c r="H52" s="13"/>
      <c r="I52" s="10" t="str">
        <f t="shared" si="6"/>
        <v>NOT PROVIDED</v>
      </c>
      <c r="J52" s="10" t="str">
        <f t="shared" si="7"/>
        <v>MEDIUM PRICE</v>
      </c>
    </row>
    <row r="53" spans="1:10" hidden="1" x14ac:dyDescent="0.35">
      <c r="A53" t="s">
        <v>334</v>
      </c>
      <c r="B53" s="11">
        <v>1620</v>
      </c>
      <c r="C53" s="11">
        <v>2200</v>
      </c>
      <c r="D53" s="11">
        <f t="shared" si="4"/>
        <v>580</v>
      </c>
      <c r="E53" s="12">
        <v>0.26</v>
      </c>
      <c r="F53" s="12" t="str">
        <f t="shared" si="5"/>
        <v>MEDIUM DISCOUNT</v>
      </c>
      <c r="G53" s="10">
        <v>2</v>
      </c>
      <c r="H53" s="13">
        <v>4.5</v>
      </c>
      <c r="I53" s="10" t="str">
        <f t="shared" si="6"/>
        <v>EXCELLENT</v>
      </c>
      <c r="J53" s="10" t="str">
        <f t="shared" si="7"/>
        <v>MEDIUM PRICE</v>
      </c>
    </row>
    <row r="54" spans="1:10" hidden="1" x14ac:dyDescent="0.35">
      <c r="A54" t="s">
        <v>6</v>
      </c>
      <c r="B54" s="11">
        <v>950</v>
      </c>
      <c r="C54" s="11">
        <v>1525</v>
      </c>
      <c r="D54" s="11">
        <f t="shared" si="4"/>
        <v>575</v>
      </c>
      <c r="E54" s="12">
        <v>0.38</v>
      </c>
      <c r="F54" s="12" t="str">
        <f t="shared" si="5"/>
        <v>MEDIUM DISCOUNT</v>
      </c>
      <c r="G54" s="10">
        <v>2</v>
      </c>
      <c r="H54" s="13">
        <v>4.5</v>
      </c>
      <c r="I54" s="10" t="str">
        <f t="shared" si="6"/>
        <v>EXCELLENT</v>
      </c>
      <c r="J54" s="10" t="str">
        <f t="shared" si="7"/>
        <v>LOW PRICE</v>
      </c>
    </row>
    <row r="55" spans="1:10" hidden="1" x14ac:dyDescent="0.35">
      <c r="A55" t="s">
        <v>168</v>
      </c>
      <c r="B55" s="11">
        <v>799</v>
      </c>
      <c r="C55" s="11">
        <v>1343</v>
      </c>
      <c r="D55" s="11">
        <f t="shared" si="4"/>
        <v>544</v>
      </c>
      <c r="E55" s="12">
        <v>0.41</v>
      </c>
      <c r="F55" s="12" t="str">
        <f t="shared" si="5"/>
        <v>HIGH DISCOUNT</v>
      </c>
      <c r="G55" s="10"/>
      <c r="H55" s="13"/>
      <c r="I55" s="10" t="str">
        <f t="shared" si="6"/>
        <v>NOT PROVIDED</v>
      </c>
      <c r="J55" s="10" t="str">
        <f t="shared" si="7"/>
        <v>LOW PRICE</v>
      </c>
    </row>
    <row r="56" spans="1:10" hidden="1" x14ac:dyDescent="0.35">
      <c r="A56" t="s">
        <v>186</v>
      </c>
      <c r="B56" s="11">
        <v>458</v>
      </c>
      <c r="C56" s="11">
        <v>986</v>
      </c>
      <c r="D56" s="11">
        <f t="shared" si="4"/>
        <v>528</v>
      </c>
      <c r="E56" s="12">
        <v>0.54</v>
      </c>
      <c r="F56" s="12" t="str">
        <f t="shared" si="5"/>
        <v>HIGH DISCOUNT</v>
      </c>
      <c r="G56" s="10">
        <v>10</v>
      </c>
      <c r="H56" s="13">
        <v>3</v>
      </c>
      <c r="I56" s="10" t="str">
        <f t="shared" si="6"/>
        <v>AVERAGE</v>
      </c>
      <c r="J56" s="10" t="str">
        <f t="shared" si="7"/>
        <v>LOW PRICE</v>
      </c>
    </row>
    <row r="57" spans="1:10" hidden="1" x14ac:dyDescent="0.35">
      <c r="A57" t="s">
        <v>44</v>
      </c>
      <c r="B57" s="11">
        <v>990</v>
      </c>
      <c r="C57" s="11">
        <v>1500</v>
      </c>
      <c r="D57" s="11">
        <f t="shared" si="4"/>
        <v>510</v>
      </c>
      <c r="E57" s="12">
        <v>0.34</v>
      </c>
      <c r="F57" s="12" t="str">
        <f t="shared" si="5"/>
        <v>MEDIUM DISCOUNT</v>
      </c>
      <c r="G57" s="10">
        <v>39</v>
      </c>
      <c r="H57" s="13">
        <v>4.7</v>
      </c>
      <c r="I57" s="10" t="str">
        <f t="shared" si="6"/>
        <v>EXCELLENT</v>
      </c>
      <c r="J57" s="10" t="str">
        <f t="shared" si="7"/>
        <v>LOW PRICE</v>
      </c>
    </row>
    <row r="58" spans="1:10" hidden="1" x14ac:dyDescent="0.35">
      <c r="A58" t="s">
        <v>105</v>
      </c>
      <c r="B58" s="11">
        <v>980</v>
      </c>
      <c r="C58" s="11">
        <v>1490</v>
      </c>
      <c r="D58" s="11">
        <f t="shared" si="4"/>
        <v>510</v>
      </c>
      <c r="E58" s="12">
        <v>0.34</v>
      </c>
      <c r="F58" s="12" t="str">
        <f t="shared" si="5"/>
        <v>MEDIUM DISCOUNT</v>
      </c>
      <c r="G58" s="10">
        <v>12</v>
      </c>
      <c r="H58" s="13">
        <v>4.7</v>
      </c>
      <c r="I58" s="10" t="str">
        <f t="shared" si="6"/>
        <v>EXCELLENT</v>
      </c>
      <c r="J58" s="10" t="str">
        <f t="shared" si="7"/>
        <v>LOW PRICE</v>
      </c>
    </row>
    <row r="59" spans="1:10" hidden="1" x14ac:dyDescent="0.35">
      <c r="A59" t="s">
        <v>235</v>
      </c>
      <c r="B59" s="11">
        <v>690</v>
      </c>
      <c r="C59" s="11">
        <v>1200</v>
      </c>
      <c r="D59" s="11">
        <f t="shared" si="4"/>
        <v>510</v>
      </c>
      <c r="E59" s="12">
        <v>0.43</v>
      </c>
      <c r="F59" s="12" t="str">
        <f t="shared" si="5"/>
        <v>HIGH DISCOUNT</v>
      </c>
      <c r="G59" s="10"/>
      <c r="H59" s="13"/>
      <c r="I59" s="10" t="str">
        <f t="shared" si="6"/>
        <v>NOT PROVIDED</v>
      </c>
      <c r="J59" s="10" t="str">
        <f t="shared" si="7"/>
        <v>LOW PRICE</v>
      </c>
    </row>
    <row r="60" spans="1:10" hidden="1" x14ac:dyDescent="0.35">
      <c r="A60" t="s">
        <v>289</v>
      </c>
      <c r="B60" s="11">
        <v>525</v>
      </c>
      <c r="C60" s="11">
        <v>1029</v>
      </c>
      <c r="D60" s="11">
        <f t="shared" si="4"/>
        <v>504</v>
      </c>
      <c r="E60" s="12">
        <v>0.49</v>
      </c>
      <c r="F60" s="12" t="str">
        <f t="shared" si="5"/>
        <v>HIGH DISCOUNT</v>
      </c>
      <c r="G60" s="10"/>
      <c r="H60" s="13"/>
      <c r="I60" s="10" t="str">
        <f t="shared" si="6"/>
        <v>NOT PROVIDED</v>
      </c>
      <c r="J60" s="10" t="str">
        <f t="shared" si="7"/>
        <v>LOW PRICE</v>
      </c>
    </row>
    <row r="61" spans="1:10" hidden="1" x14ac:dyDescent="0.35">
      <c r="A61" t="s">
        <v>81</v>
      </c>
      <c r="B61" s="11">
        <v>1650</v>
      </c>
      <c r="C61" s="11">
        <v>2150</v>
      </c>
      <c r="D61" s="11">
        <f t="shared" si="4"/>
        <v>500</v>
      </c>
      <c r="E61" s="12">
        <v>0.23</v>
      </c>
      <c r="F61" s="12" t="str">
        <f t="shared" si="5"/>
        <v>MEDIUM DISCOUNT</v>
      </c>
      <c r="G61" s="10">
        <v>14</v>
      </c>
      <c r="H61" s="13">
        <v>4.4000000000000004</v>
      </c>
      <c r="I61" s="10" t="str">
        <f t="shared" si="6"/>
        <v>AVERAGE</v>
      </c>
      <c r="J61" s="10" t="str">
        <f t="shared" si="7"/>
        <v>MEDIUM PRICE</v>
      </c>
    </row>
    <row r="62" spans="1:10" hidden="1" x14ac:dyDescent="0.35">
      <c r="A62" t="s">
        <v>170</v>
      </c>
      <c r="B62" s="11">
        <v>399</v>
      </c>
      <c r="C62" s="11">
        <v>896</v>
      </c>
      <c r="D62" s="11">
        <f t="shared" si="4"/>
        <v>497</v>
      </c>
      <c r="E62" s="12">
        <v>0.55000000000000004</v>
      </c>
      <c r="F62" s="12" t="str">
        <f t="shared" si="5"/>
        <v>HIGH DISCOUNT</v>
      </c>
      <c r="G62" s="10"/>
      <c r="H62" s="13"/>
      <c r="I62" s="10" t="str">
        <f t="shared" si="6"/>
        <v>NOT PROVIDED</v>
      </c>
      <c r="J62" s="10" t="str">
        <f t="shared" si="7"/>
        <v>LOW PRICE</v>
      </c>
    </row>
    <row r="63" spans="1:10" hidden="1" x14ac:dyDescent="0.35">
      <c r="A63" t="s">
        <v>47</v>
      </c>
      <c r="B63" s="11">
        <v>552</v>
      </c>
      <c r="C63" s="11">
        <v>1035</v>
      </c>
      <c r="D63" s="11">
        <f t="shared" si="4"/>
        <v>483</v>
      </c>
      <c r="E63" s="12">
        <v>0.47</v>
      </c>
      <c r="F63" s="12" t="str">
        <f t="shared" si="5"/>
        <v>HIGH DISCOUNT</v>
      </c>
      <c r="G63" s="10">
        <v>12</v>
      </c>
      <c r="H63" s="13">
        <v>4.8</v>
      </c>
      <c r="I63" s="10" t="str">
        <f t="shared" si="6"/>
        <v>EXCELLENT</v>
      </c>
      <c r="J63" s="10" t="str">
        <f t="shared" si="7"/>
        <v>LOW PRICE</v>
      </c>
    </row>
    <row r="64" spans="1:10" hidden="1" x14ac:dyDescent="0.35">
      <c r="A64" t="s">
        <v>10</v>
      </c>
      <c r="B64" s="11">
        <v>527</v>
      </c>
      <c r="C64" s="11">
        <v>999</v>
      </c>
      <c r="D64" s="11">
        <f t="shared" si="4"/>
        <v>472</v>
      </c>
      <c r="E64" s="12">
        <v>0.47</v>
      </c>
      <c r="F64" s="12" t="str">
        <f t="shared" si="5"/>
        <v>HIGH DISCOUNT</v>
      </c>
      <c r="G64" s="10">
        <v>14</v>
      </c>
      <c r="H64" s="13">
        <v>4.0999999999999996</v>
      </c>
      <c r="I64" s="10" t="str">
        <f t="shared" si="6"/>
        <v>AVERAGE</v>
      </c>
      <c r="J64" s="10" t="str">
        <f t="shared" si="7"/>
        <v>LOW PRICE</v>
      </c>
    </row>
    <row r="65" spans="1:10" hidden="1" x14ac:dyDescent="0.35">
      <c r="A65" t="s">
        <v>78</v>
      </c>
      <c r="B65" s="11">
        <v>880</v>
      </c>
      <c r="C65" s="11">
        <v>1350</v>
      </c>
      <c r="D65" s="11">
        <f t="shared" si="4"/>
        <v>470</v>
      </c>
      <c r="E65" s="12">
        <v>0.35</v>
      </c>
      <c r="F65" s="12" t="str">
        <f t="shared" si="5"/>
        <v>MEDIUM DISCOUNT</v>
      </c>
      <c r="G65" s="10">
        <v>6</v>
      </c>
      <c r="H65" s="13">
        <v>4</v>
      </c>
      <c r="I65" s="10" t="str">
        <f t="shared" si="6"/>
        <v>AVERAGE</v>
      </c>
      <c r="J65" s="10" t="str">
        <f t="shared" si="7"/>
        <v>LOW PRICE</v>
      </c>
    </row>
    <row r="66" spans="1:10" hidden="1" x14ac:dyDescent="0.35">
      <c r="A66" t="s">
        <v>266</v>
      </c>
      <c r="B66" s="11">
        <v>630</v>
      </c>
      <c r="C66" s="11">
        <v>1100</v>
      </c>
      <c r="D66" s="11">
        <f t="shared" ref="D66:D97" si="8">C66-B66</f>
        <v>470</v>
      </c>
      <c r="E66" s="12">
        <v>0.43</v>
      </c>
      <c r="F66" s="12" t="str">
        <f t="shared" ref="F66:F97" si="9">IF(E66&lt;20%,"LOW DISCOUNT",IF(E66&lt;40%,"MEDIUM DISCOUNT","HIGH DISCOUNT"))</f>
        <v>HIGH DISCOUNT</v>
      </c>
      <c r="G66" s="10"/>
      <c r="H66" s="13"/>
      <c r="I66" s="10" t="str">
        <f t="shared" ref="I66:I97" si="10">IF(ISBLANK(H66),"NOT PROVIDED",IF(H66&lt;3,"POOR",IF(H66&lt;4.5,"AVERAGE","EXCELLENT")))</f>
        <v>NOT PROVIDED</v>
      </c>
      <c r="J66" s="10" t="str">
        <f t="shared" ref="J66:J97" si="11">IF(B66&lt;1000,"LOW PRICE",IF(B66&lt;2000,"MEDIUM PRICE","HIGH PRICE"))</f>
        <v>LOW PRICE</v>
      </c>
    </row>
    <row r="67" spans="1:10" hidden="1" x14ac:dyDescent="0.35">
      <c r="A67" t="s">
        <v>131</v>
      </c>
      <c r="B67" s="11">
        <v>475</v>
      </c>
      <c r="C67" s="11">
        <v>931</v>
      </c>
      <c r="D67" s="11">
        <f t="shared" si="8"/>
        <v>456</v>
      </c>
      <c r="E67" s="12">
        <v>0.49</v>
      </c>
      <c r="F67" s="12" t="str">
        <f t="shared" si="9"/>
        <v>HIGH DISCOUNT</v>
      </c>
      <c r="G67" s="10"/>
      <c r="H67" s="13"/>
      <c r="I67" s="10" t="str">
        <f t="shared" si="10"/>
        <v>NOT PROVIDED</v>
      </c>
      <c r="J67" s="10" t="str">
        <f t="shared" si="11"/>
        <v>LOW PRICE</v>
      </c>
    </row>
    <row r="68" spans="1:10" hidden="1" x14ac:dyDescent="0.35">
      <c r="A68" t="s">
        <v>318</v>
      </c>
      <c r="B68" s="11">
        <v>450</v>
      </c>
      <c r="C68" s="11">
        <v>900</v>
      </c>
      <c r="D68" s="11">
        <f t="shared" si="8"/>
        <v>450</v>
      </c>
      <c r="E68" s="12">
        <v>0.5</v>
      </c>
      <c r="F68" s="12" t="str">
        <f t="shared" si="9"/>
        <v>HIGH DISCOUNT</v>
      </c>
      <c r="G68" s="10">
        <v>1</v>
      </c>
      <c r="H68" s="13">
        <v>2</v>
      </c>
      <c r="I68" s="10" t="str">
        <f t="shared" si="10"/>
        <v>POOR</v>
      </c>
      <c r="J68" s="10" t="str">
        <f t="shared" si="11"/>
        <v>LOW PRICE</v>
      </c>
    </row>
    <row r="69" spans="1:10" hidden="1" x14ac:dyDescent="0.35">
      <c r="A69" t="s">
        <v>137</v>
      </c>
      <c r="B69" s="11">
        <v>610</v>
      </c>
      <c r="C69" s="11">
        <v>1060</v>
      </c>
      <c r="D69" s="11">
        <f t="shared" si="8"/>
        <v>450</v>
      </c>
      <c r="E69" s="12">
        <v>0.42</v>
      </c>
      <c r="F69" s="12" t="str">
        <f t="shared" si="9"/>
        <v>HIGH DISCOUNT</v>
      </c>
      <c r="G69" s="10"/>
      <c r="H69" s="13"/>
      <c r="I69" s="10" t="str">
        <f t="shared" si="10"/>
        <v>NOT PROVIDED</v>
      </c>
      <c r="J69" s="10" t="str">
        <f t="shared" si="11"/>
        <v>LOW PRICE</v>
      </c>
    </row>
    <row r="70" spans="1:10" hidden="1" x14ac:dyDescent="0.35">
      <c r="A70" t="s">
        <v>194</v>
      </c>
      <c r="B70" s="11">
        <v>445</v>
      </c>
      <c r="C70" s="11">
        <v>873</v>
      </c>
      <c r="D70" s="11">
        <f t="shared" si="8"/>
        <v>428</v>
      </c>
      <c r="E70" s="12">
        <v>0.49</v>
      </c>
      <c r="F70" s="12" t="str">
        <f t="shared" si="9"/>
        <v>HIGH DISCOUNT</v>
      </c>
      <c r="G70" s="10">
        <v>69</v>
      </c>
      <c r="H70" s="13">
        <v>2.8</v>
      </c>
      <c r="I70" s="10" t="str">
        <f t="shared" si="10"/>
        <v>POOR</v>
      </c>
      <c r="J70" s="10" t="str">
        <f t="shared" si="11"/>
        <v>LOW PRICE</v>
      </c>
    </row>
    <row r="71" spans="1:10" hidden="1" x14ac:dyDescent="0.35">
      <c r="A71" t="s">
        <v>170</v>
      </c>
      <c r="B71" s="11">
        <v>499</v>
      </c>
      <c r="C71" s="11">
        <v>900</v>
      </c>
      <c r="D71" s="11">
        <f t="shared" si="8"/>
        <v>401</v>
      </c>
      <c r="E71" s="12">
        <v>0.45</v>
      </c>
      <c r="F71" s="12" t="str">
        <f t="shared" si="9"/>
        <v>HIGH DISCOUNT</v>
      </c>
      <c r="G71" s="10"/>
      <c r="H71" s="13"/>
      <c r="I71" s="10" t="str">
        <f t="shared" si="10"/>
        <v>NOT PROVIDED</v>
      </c>
      <c r="J71" s="10" t="str">
        <f t="shared" si="11"/>
        <v>LOW PRICE</v>
      </c>
    </row>
    <row r="72" spans="1:10" hidden="1" x14ac:dyDescent="0.35">
      <c r="A72" t="s">
        <v>224</v>
      </c>
      <c r="B72" s="11">
        <v>509</v>
      </c>
      <c r="C72" s="11">
        <v>899</v>
      </c>
      <c r="D72" s="11">
        <f t="shared" si="8"/>
        <v>390</v>
      </c>
      <c r="E72" s="12">
        <v>0.43</v>
      </c>
      <c r="F72" s="12" t="str">
        <f t="shared" si="9"/>
        <v>HIGH DISCOUNT</v>
      </c>
      <c r="G72" s="10">
        <v>5</v>
      </c>
      <c r="H72" s="13">
        <v>3</v>
      </c>
      <c r="I72" s="10" t="str">
        <f t="shared" si="10"/>
        <v>AVERAGE</v>
      </c>
      <c r="J72" s="10" t="str">
        <f t="shared" si="11"/>
        <v>LOW PRICE</v>
      </c>
    </row>
    <row r="73" spans="1:10" hidden="1" x14ac:dyDescent="0.35">
      <c r="A73" t="s">
        <v>50</v>
      </c>
      <c r="B73" s="11">
        <v>501</v>
      </c>
      <c r="C73" s="11">
        <v>860</v>
      </c>
      <c r="D73" s="11">
        <f t="shared" si="8"/>
        <v>359</v>
      </c>
      <c r="E73" s="12">
        <v>0.42</v>
      </c>
      <c r="F73" s="12" t="str">
        <f t="shared" si="9"/>
        <v>HIGH DISCOUNT</v>
      </c>
      <c r="G73" s="10">
        <v>6</v>
      </c>
      <c r="H73" s="13">
        <v>4.5</v>
      </c>
      <c r="I73" s="10" t="str">
        <f t="shared" si="10"/>
        <v>EXCELLENT</v>
      </c>
      <c r="J73" s="10" t="str">
        <f t="shared" si="11"/>
        <v>LOW PRICE</v>
      </c>
    </row>
    <row r="74" spans="1:10" hidden="1" x14ac:dyDescent="0.35">
      <c r="A74" t="s">
        <v>198</v>
      </c>
      <c r="B74" s="11">
        <v>325</v>
      </c>
      <c r="C74" s="11">
        <v>680</v>
      </c>
      <c r="D74" s="11">
        <f t="shared" si="8"/>
        <v>355</v>
      </c>
      <c r="E74" s="12">
        <v>0.52</v>
      </c>
      <c r="F74" s="12" t="str">
        <f t="shared" si="9"/>
        <v>HIGH DISCOUNT</v>
      </c>
      <c r="G74" s="10">
        <v>15</v>
      </c>
      <c r="H74" s="13">
        <v>2.7</v>
      </c>
      <c r="I74" s="10" t="str">
        <f t="shared" si="10"/>
        <v>POOR</v>
      </c>
      <c r="J74" s="10" t="str">
        <f t="shared" si="11"/>
        <v>LOW PRICE</v>
      </c>
    </row>
    <row r="75" spans="1:10" hidden="1" x14ac:dyDescent="0.35">
      <c r="A75" t="s">
        <v>316</v>
      </c>
      <c r="B75" s="11">
        <v>199</v>
      </c>
      <c r="C75" s="11">
        <v>553</v>
      </c>
      <c r="D75" s="11">
        <f t="shared" si="8"/>
        <v>354</v>
      </c>
      <c r="E75" s="12">
        <v>0.64</v>
      </c>
      <c r="F75" s="12" t="str">
        <f t="shared" si="9"/>
        <v>HIGH DISCOUNT</v>
      </c>
      <c r="G75" s="10"/>
      <c r="H75" s="13"/>
      <c r="I75" s="10" t="str">
        <f t="shared" si="10"/>
        <v>NOT PROVIDED</v>
      </c>
      <c r="J75" s="10" t="str">
        <f t="shared" si="11"/>
        <v>LOW PRICE</v>
      </c>
    </row>
    <row r="76" spans="1:10" hidden="1" x14ac:dyDescent="0.35">
      <c r="A76" t="s">
        <v>56</v>
      </c>
      <c r="B76" s="11">
        <v>332</v>
      </c>
      <c r="C76" s="11">
        <v>684</v>
      </c>
      <c r="D76" s="11">
        <f t="shared" si="8"/>
        <v>352</v>
      </c>
      <c r="E76" s="12">
        <v>0.51</v>
      </c>
      <c r="F76" s="12" t="str">
        <f t="shared" si="9"/>
        <v>HIGH DISCOUNT</v>
      </c>
      <c r="G76" s="10">
        <v>2</v>
      </c>
      <c r="H76" s="13">
        <v>5</v>
      </c>
      <c r="I76" s="10" t="str">
        <f t="shared" si="10"/>
        <v>EXCELLENT</v>
      </c>
      <c r="J76" s="10" t="str">
        <f t="shared" si="11"/>
        <v>LOW PRICE</v>
      </c>
    </row>
    <row r="77" spans="1:10" hidden="1" x14ac:dyDescent="0.35">
      <c r="A77" t="s">
        <v>202</v>
      </c>
      <c r="B77" s="11">
        <v>1220</v>
      </c>
      <c r="C77" s="11">
        <v>1555</v>
      </c>
      <c r="D77" s="11">
        <f t="shared" si="8"/>
        <v>335</v>
      </c>
      <c r="E77" s="12">
        <v>0.22</v>
      </c>
      <c r="F77" s="12" t="str">
        <f t="shared" si="9"/>
        <v>MEDIUM DISCOUNT</v>
      </c>
      <c r="G77" s="10">
        <v>16</v>
      </c>
      <c r="H77" s="13">
        <v>2.9</v>
      </c>
      <c r="I77" s="10" t="str">
        <f t="shared" si="10"/>
        <v>POOR</v>
      </c>
      <c r="J77" s="10" t="str">
        <f t="shared" si="11"/>
        <v>MEDIUM PRICE</v>
      </c>
    </row>
    <row r="78" spans="1:10" hidden="1" x14ac:dyDescent="0.35">
      <c r="A78" t="s">
        <v>182</v>
      </c>
      <c r="B78" s="11">
        <v>2170</v>
      </c>
      <c r="C78" s="11">
        <v>2500</v>
      </c>
      <c r="D78" s="11">
        <f t="shared" si="8"/>
        <v>330</v>
      </c>
      <c r="E78" s="12">
        <v>0.13</v>
      </c>
      <c r="F78" s="12" t="str">
        <f t="shared" si="9"/>
        <v>LOW DISCOUNT</v>
      </c>
      <c r="G78" s="10">
        <v>6</v>
      </c>
      <c r="H78" s="13">
        <v>2.5</v>
      </c>
      <c r="I78" s="10" t="str">
        <f t="shared" si="10"/>
        <v>POOR</v>
      </c>
      <c r="J78" s="10" t="str">
        <f t="shared" si="11"/>
        <v>HIGH PRICE</v>
      </c>
    </row>
    <row r="79" spans="1:10" hidden="1" x14ac:dyDescent="0.35">
      <c r="A79" t="s">
        <v>215</v>
      </c>
      <c r="B79" s="11">
        <v>382</v>
      </c>
      <c r="C79" s="11">
        <v>700</v>
      </c>
      <c r="D79" s="11">
        <f t="shared" si="8"/>
        <v>318</v>
      </c>
      <c r="E79" s="12">
        <v>0.45</v>
      </c>
      <c r="F79" s="12" t="str">
        <f t="shared" si="9"/>
        <v>HIGH DISCOUNT</v>
      </c>
      <c r="G79" s="10">
        <v>17</v>
      </c>
      <c r="H79" s="13">
        <v>2.6</v>
      </c>
      <c r="I79" s="10" t="str">
        <f t="shared" si="10"/>
        <v>POOR</v>
      </c>
      <c r="J79" s="10" t="str">
        <f t="shared" si="11"/>
        <v>LOW PRICE</v>
      </c>
    </row>
    <row r="80" spans="1:10" hidden="1" x14ac:dyDescent="0.35">
      <c r="A80" t="s">
        <v>253</v>
      </c>
      <c r="B80" s="11">
        <v>330</v>
      </c>
      <c r="C80" s="11">
        <v>647</v>
      </c>
      <c r="D80" s="11">
        <f t="shared" si="8"/>
        <v>317</v>
      </c>
      <c r="E80" s="12">
        <v>0.49</v>
      </c>
      <c r="F80" s="12" t="str">
        <f t="shared" si="9"/>
        <v>HIGH DISCOUNT</v>
      </c>
      <c r="G80" s="10">
        <v>1</v>
      </c>
      <c r="H80" s="13">
        <v>4</v>
      </c>
      <c r="I80" s="10" t="str">
        <f t="shared" si="10"/>
        <v>AVERAGE</v>
      </c>
      <c r="J80" s="10" t="str">
        <f t="shared" si="11"/>
        <v>LOW PRICE</v>
      </c>
    </row>
    <row r="81" spans="1:10" hidden="1" x14ac:dyDescent="0.35">
      <c r="A81" t="s">
        <v>154</v>
      </c>
      <c r="B81" s="11">
        <v>199</v>
      </c>
      <c r="C81" s="11">
        <v>504</v>
      </c>
      <c r="D81" s="11">
        <f t="shared" si="8"/>
        <v>305</v>
      </c>
      <c r="E81" s="12">
        <v>0.61</v>
      </c>
      <c r="F81" s="12" t="str">
        <f t="shared" si="9"/>
        <v>HIGH DISCOUNT</v>
      </c>
      <c r="G81" s="10"/>
      <c r="H81" s="13"/>
      <c r="I81" s="10" t="str">
        <f t="shared" si="10"/>
        <v>NOT PROVIDED</v>
      </c>
      <c r="J81" s="10" t="str">
        <f t="shared" si="11"/>
        <v>LOW PRICE</v>
      </c>
    </row>
    <row r="82" spans="1:10" hidden="1" x14ac:dyDescent="0.35">
      <c r="A82" t="s">
        <v>157</v>
      </c>
      <c r="B82" s="11">
        <v>299</v>
      </c>
      <c r="C82" s="11">
        <v>600</v>
      </c>
      <c r="D82" s="11">
        <f t="shared" si="8"/>
        <v>301</v>
      </c>
      <c r="E82" s="12">
        <v>0.5</v>
      </c>
      <c r="F82" s="12" t="str">
        <f t="shared" si="9"/>
        <v>HIGH DISCOUNT</v>
      </c>
      <c r="G82" s="10"/>
      <c r="H82" s="13"/>
      <c r="I82" s="10" t="str">
        <f t="shared" si="10"/>
        <v>NOT PROVIDED</v>
      </c>
      <c r="J82" s="10" t="str">
        <f t="shared" si="11"/>
        <v>LOW PRICE</v>
      </c>
    </row>
    <row r="83" spans="1:10" hidden="1" x14ac:dyDescent="0.35">
      <c r="A83" t="s">
        <v>26</v>
      </c>
      <c r="B83" s="11">
        <v>2999</v>
      </c>
      <c r="C83" s="11">
        <v>3290</v>
      </c>
      <c r="D83" s="11">
        <f t="shared" si="8"/>
        <v>291</v>
      </c>
      <c r="E83" s="12">
        <v>0.09</v>
      </c>
      <c r="F83" s="12" t="str">
        <f t="shared" si="9"/>
        <v>LOW DISCOUNT</v>
      </c>
      <c r="G83" s="10">
        <v>15</v>
      </c>
      <c r="H83" s="13">
        <v>4</v>
      </c>
      <c r="I83" s="10" t="str">
        <f t="shared" si="10"/>
        <v>AVERAGE</v>
      </c>
      <c r="J83" s="10" t="str">
        <f t="shared" si="11"/>
        <v>HIGH PRICE</v>
      </c>
    </row>
    <row r="84" spans="1:10" hidden="1" x14ac:dyDescent="0.35">
      <c r="A84" t="s">
        <v>122</v>
      </c>
      <c r="B84" s="11">
        <v>389</v>
      </c>
      <c r="C84" s="11">
        <v>656</v>
      </c>
      <c r="D84" s="11">
        <f t="shared" si="8"/>
        <v>267</v>
      </c>
      <c r="E84" s="12">
        <v>0.41</v>
      </c>
      <c r="F84" s="12" t="str">
        <f t="shared" si="9"/>
        <v>HIGH DISCOUNT</v>
      </c>
      <c r="G84" s="10">
        <v>36</v>
      </c>
      <c r="H84" s="13">
        <v>4.3</v>
      </c>
      <c r="I84" s="10" t="str">
        <f t="shared" si="10"/>
        <v>AVERAGE</v>
      </c>
      <c r="J84" s="10" t="str">
        <f t="shared" si="11"/>
        <v>LOW PRICE</v>
      </c>
    </row>
    <row r="85" spans="1:10" hidden="1" x14ac:dyDescent="0.35">
      <c r="A85" t="s">
        <v>258</v>
      </c>
      <c r="B85" s="11">
        <v>274</v>
      </c>
      <c r="C85" s="11">
        <v>537</v>
      </c>
      <c r="D85" s="11">
        <f t="shared" si="8"/>
        <v>263</v>
      </c>
      <c r="E85" s="12">
        <v>0.49</v>
      </c>
      <c r="F85" s="12" t="str">
        <f t="shared" si="9"/>
        <v>HIGH DISCOUNT</v>
      </c>
      <c r="G85" s="10"/>
      <c r="H85" s="13"/>
      <c r="I85" s="10" t="str">
        <f t="shared" si="10"/>
        <v>NOT PROVIDED</v>
      </c>
      <c r="J85" s="10" t="str">
        <f t="shared" si="11"/>
        <v>LOW PRICE</v>
      </c>
    </row>
    <row r="86" spans="1:10" hidden="1" x14ac:dyDescent="0.35">
      <c r="A86" t="s">
        <v>221</v>
      </c>
      <c r="B86" s="11">
        <v>345</v>
      </c>
      <c r="C86" s="11">
        <v>602</v>
      </c>
      <c r="D86" s="11">
        <f t="shared" si="8"/>
        <v>257</v>
      </c>
      <c r="E86" s="12">
        <v>0.43</v>
      </c>
      <c r="F86" s="12" t="str">
        <f t="shared" si="9"/>
        <v>HIGH DISCOUNT</v>
      </c>
      <c r="G86" s="10">
        <v>6</v>
      </c>
      <c r="H86" s="13">
        <v>2.2999999999999998</v>
      </c>
      <c r="I86" s="10" t="str">
        <f t="shared" si="10"/>
        <v>POOR</v>
      </c>
      <c r="J86" s="10" t="str">
        <f t="shared" si="11"/>
        <v>LOW PRICE</v>
      </c>
    </row>
    <row r="87" spans="1:10" hidden="1" x14ac:dyDescent="0.35">
      <c r="A87" t="s">
        <v>134</v>
      </c>
      <c r="B87" s="11">
        <v>238</v>
      </c>
      <c r="C87" s="11">
        <v>476</v>
      </c>
      <c r="D87" s="11">
        <f t="shared" si="8"/>
        <v>238</v>
      </c>
      <c r="E87" s="12">
        <v>0.5</v>
      </c>
      <c r="F87" s="12" t="str">
        <f t="shared" si="9"/>
        <v>HIGH DISCOUNT</v>
      </c>
      <c r="G87" s="10"/>
      <c r="H87" s="13"/>
      <c r="I87" s="10" t="str">
        <f t="shared" si="10"/>
        <v>NOT PROVIDED</v>
      </c>
      <c r="J87" s="10" t="str">
        <f t="shared" si="11"/>
        <v>LOW PRICE</v>
      </c>
    </row>
    <row r="88" spans="1:10" hidden="1" x14ac:dyDescent="0.35">
      <c r="A88" t="s">
        <v>284</v>
      </c>
      <c r="B88" s="11">
        <v>248</v>
      </c>
      <c r="C88" s="11">
        <v>486</v>
      </c>
      <c r="D88" s="11">
        <f t="shared" si="8"/>
        <v>238</v>
      </c>
      <c r="E88" s="12">
        <v>0.49</v>
      </c>
      <c r="F88" s="12" t="str">
        <f t="shared" si="9"/>
        <v>HIGH DISCOUNT</v>
      </c>
      <c r="G88" s="10"/>
      <c r="H88" s="13"/>
      <c r="I88" s="10" t="str">
        <f t="shared" si="10"/>
        <v>NOT PROVIDED</v>
      </c>
      <c r="J88" s="10" t="str">
        <f t="shared" si="11"/>
        <v>LOW PRICE</v>
      </c>
    </row>
    <row r="89" spans="1:10" hidden="1" x14ac:dyDescent="0.35">
      <c r="A89" t="s">
        <v>256</v>
      </c>
      <c r="B89" s="11">
        <v>1466</v>
      </c>
      <c r="C89" s="11">
        <v>1699</v>
      </c>
      <c r="D89" s="11">
        <f t="shared" si="8"/>
        <v>233</v>
      </c>
      <c r="E89" s="12">
        <v>0.14000000000000001</v>
      </c>
      <c r="F89" s="12" t="str">
        <f t="shared" si="9"/>
        <v>LOW DISCOUNT</v>
      </c>
      <c r="G89" s="10"/>
      <c r="H89" s="13"/>
      <c r="I89" s="10" t="str">
        <f t="shared" si="10"/>
        <v>NOT PROVIDED</v>
      </c>
      <c r="J89" s="10" t="str">
        <f t="shared" si="11"/>
        <v>MEDIUM PRICE</v>
      </c>
    </row>
    <row r="90" spans="1:10" hidden="1" x14ac:dyDescent="0.35">
      <c r="A90" t="s">
        <v>264</v>
      </c>
      <c r="B90" s="11">
        <v>1468</v>
      </c>
      <c r="C90" s="11">
        <v>1699</v>
      </c>
      <c r="D90" s="11">
        <f t="shared" si="8"/>
        <v>231</v>
      </c>
      <c r="E90" s="12">
        <v>0.14000000000000001</v>
      </c>
      <c r="F90" s="12" t="str">
        <f t="shared" si="9"/>
        <v>LOW DISCOUNT</v>
      </c>
      <c r="G90" s="10"/>
      <c r="H90" s="13"/>
      <c r="I90" s="10" t="str">
        <f t="shared" si="10"/>
        <v>NOT PROVIDED</v>
      </c>
      <c r="J90" s="10" t="str">
        <f t="shared" si="11"/>
        <v>MEDIUM PRICE</v>
      </c>
    </row>
    <row r="91" spans="1:10" hidden="1" x14ac:dyDescent="0.35">
      <c r="A91" t="s">
        <v>89</v>
      </c>
      <c r="B91" s="11">
        <v>420</v>
      </c>
      <c r="C91" s="11">
        <v>647</v>
      </c>
      <c r="D91" s="11">
        <f t="shared" si="8"/>
        <v>227</v>
      </c>
      <c r="E91" s="12">
        <v>0.35</v>
      </c>
      <c r="F91" s="12" t="str">
        <f t="shared" si="9"/>
        <v>MEDIUM DISCOUNT</v>
      </c>
      <c r="G91" s="10">
        <v>49</v>
      </c>
      <c r="H91" s="13">
        <v>4.5999999999999996</v>
      </c>
      <c r="I91" s="10" t="str">
        <f t="shared" si="10"/>
        <v>EXCELLENT</v>
      </c>
      <c r="J91" s="10" t="str">
        <f t="shared" si="11"/>
        <v>LOW PRICE</v>
      </c>
    </row>
    <row r="92" spans="1:10" hidden="1" x14ac:dyDescent="0.35">
      <c r="A92" t="s">
        <v>240</v>
      </c>
      <c r="B92" s="11">
        <v>230</v>
      </c>
      <c r="C92" s="11">
        <v>450</v>
      </c>
      <c r="D92" s="11">
        <f t="shared" si="8"/>
        <v>220</v>
      </c>
      <c r="E92" s="12">
        <v>0.49</v>
      </c>
      <c r="F92" s="12" t="str">
        <f t="shared" si="9"/>
        <v>HIGH DISCOUNT</v>
      </c>
      <c r="G92" s="10"/>
      <c r="H92" s="13"/>
      <c r="I92" s="10" t="str">
        <f t="shared" si="10"/>
        <v>NOT PROVIDED</v>
      </c>
      <c r="J92" s="10" t="str">
        <f t="shared" si="11"/>
        <v>LOW PRICE</v>
      </c>
    </row>
    <row r="93" spans="1:10" hidden="1" x14ac:dyDescent="0.35">
      <c r="A93" t="s">
        <v>42</v>
      </c>
      <c r="B93" s="11">
        <v>799</v>
      </c>
      <c r="C93" s="11">
        <v>999</v>
      </c>
      <c r="D93" s="11">
        <f t="shared" si="8"/>
        <v>200</v>
      </c>
      <c r="E93" s="12">
        <v>0.2</v>
      </c>
      <c r="F93" s="12" t="str">
        <f t="shared" si="9"/>
        <v>MEDIUM DISCOUNT</v>
      </c>
      <c r="G93" s="10">
        <v>12</v>
      </c>
      <c r="H93" s="13">
        <v>4.0999999999999996</v>
      </c>
      <c r="I93" s="10" t="str">
        <f t="shared" si="10"/>
        <v>AVERAGE</v>
      </c>
      <c r="J93" s="10" t="str">
        <f t="shared" si="11"/>
        <v>LOW PRICE</v>
      </c>
    </row>
    <row r="94" spans="1:10" hidden="1" x14ac:dyDescent="0.35">
      <c r="A94" t="s">
        <v>102</v>
      </c>
      <c r="B94" s="11">
        <v>185</v>
      </c>
      <c r="C94" s="11">
        <v>382</v>
      </c>
      <c r="D94" s="11">
        <f t="shared" si="8"/>
        <v>197</v>
      </c>
      <c r="E94" s="12">
        <v>0.52</v>
      </c>
      <c r="F94" s="12" t="str">
        <f t="shared" si="9"/>
        <v>HIGH DISCOUNT</v>
      </c>
      <c r="G94" s="10">
        <v>9</v>
      </c>
      <c r="H94" s="13">
        <v>4.3</v>
      </c>
      <c r="I94" s="10" t="str">
        <f t="shared" si="10"/>
        <v>AVERAGE</v>
      </c>
      <c r="J94" s="10" t="str">
        <f t="shared" si="11"/>
        <v>LOW PRICE</v>
      </c>
    </row>
    <row r="95" spans="1:10" hidden="1" x14ac:dyDescent="0.35">
      <c r="A95" t="s">
        <v>120</v>
      </c>
      <c r="B95" s="11">
        <v>171</v>
      </c>
      <c r="C95" s="11">
        <v>360</v>
      </c>
      <c r="D95" s="11">
        <f t="shared" si="8"/>
        <v>189</v>
      </c>
      <c r="E95" s="12">
        <v>0.53</v>
      </c>
      <c r="F95" s="12" t="str">
        <f t="shared" si="9"/>
        <v>HIGH DISCOUNT</v>
      </c>
      <c r="G95" s="10">
        <v>2</v>
      </c>
      <c r="H95" s="13">
        <v>5</v>
      </c>
      <c r="I95" s="10" t="str">
        <f t="shared" si="10"/>
        <v>EXCELLENT</v>
      </c>
      <c r="J95" s="10" t="str">
        <f t="shared" si="11"/>
        <v>LOW PRICE</v>
      </c>
    </row>
    <row r="96" spans="1:10" hidden="1" x14ac:dyDescent="0.35">
      <c r="A96" t="s">
        <v>154</v>
      </c>
      <c r="B96" s="11">
        <v>176</v>
      </c>
      <c r="C96" s="11">
        <v>345</v>
      </c>
      <c r="D96" s="11">
        <f t="shared" si="8"/>
        <v>169</v>
      </c>
      <c r="E96" s="12">
        <v>0.49</v>
      </c>
      <c r="F96" s="12" t="str">
        <f t="shared" si="9"/>
        <v>HIGH DISCOUNT</v>
      </c>
      <c r="G96" s="10"/>
      <c r="H96" s="13"/>
      <c r="I96" s="10" t="str">
        <f t="shared" si="10"/>
        <v>NOT PROVIDED</v>
      </c>
      <c r="J96" s="10" t="str">
        <f t="shared" si="11"/>
        <v>LOW PRICE</v>
      </c>
    </row>
    <row r="97" spans="1:10" hidden="1" x14ac:dyDescent="0.35">
      <c r="A97" t="s">
        <v>60</v>
      </c>
      <c r="B97" s="11">
        <v>195</v>
      </c>
      <c r="C97" s="11">
        <v>360</v>
      </c>
      <c r="D97" s="11">
        <f t="shared" si="8"/>
        <v>165</v>
      </c>
      <c r="E97" s="12">
        <v>0.46</v>
      </c>
      <c r="F97" s="12" t="str">
        <f t="shared" si="9"/>
        <v>HIGH DISCOUNT</v>
      </c>
      <c r="G97" s="10">
        <v>2</v>
      </c>
      <c r="H97" s="13">
        <v>5</v>
      </c>
      <c r="I97" s="10" t="str">
        <f t="shared" si="10"/>
        <v>EXCELLENT</v>
      </c>
      <c r="J97" s="10" t="str">
        <f t="shared" si="11"/>
        <v>LOW PRICE</v>
      </c>
    </row>
    <row r="98" spans="1:10" hidden="1" x14ac:dyDescent="0.35">
      <c r="A98" t="s">
        <v>287</v>
      </c>
      <c r="B98" s="11">
        <v>3546</v>
      </c>
      <c r="C98" s="11">
        <v>3699</v>
      </c>
      <c r="D98" s="11">
        <f t="shared" ref="D98:D114" si="12">C98-B98</f>
        <v>153</v>
      </c>
      <c r="E98" s="12">
        <v>0.04</v>
      </c>
      <c r="F98" s="12" t="str">
        <f t="shared" ref="F98:F114" si="13">IF(E98&lt;20%,"LOW DISCOUNT",IF(E98&lt;40%,"MEDIUM DISCOUNT","HIGH DISCOUNT"))</f>
        <v>LOW DISCOUNT</v>
      </c>
      <c r="G98" s="10"/>
      <c r="H98" s="13"/>
      <c r="I98" s="10" t="str">
        <f t="shared" ref="I98:I114" si="14">IF(ISBLANK(H98),"NOT PROVIDED",IF(H98&lt;3,"POOR",IF(H98&lt;4.5,"AVERAGE","EXCELLENT")))</f>
        <v>NOT PROVIDED</v>
      </c>
      <c r="J98" s="10" t="str">
        <f t="shared" ref="J98:J114" si="15">IF(B98&lt;1000,"LOW PRICE",IF(B98&lt;2000,"MEDIUM PRICE","HIGH PRICE"))</f>
        <v>HIGH PRICE</v>
      </c>
    </row>
    <row r="99" spans="1:10" hidden="1" x14ac:dyDescent="0.35">
      <c r="A99" t="s">
        <v>320</v>
      </c>
      <c r="B99" s="11">
        <v>169</v>
      </c>
      <c r="C99" s="11">
        <v>320</v>
      </c>
      <c r="D99" s="11">
        <f t="shared" si="12"/>
        <v>151</v>
      </c>
      <c r="E99" s="12">
        <v>0.47</v>
      </c>
      <c r="F99" s="12" t="str">
        <f t="shared" si="13"/>
        <v>HIGH DISCOUNT</v>
      </c>
      <c r="G99" s="10"/>
      <c r="H99" s="13"/>
      <c r="I99" s="10" t="str">
        <f t="shared" si="14"/>
        <v>NOT PROVIDED</v>
      </c>
      <c r="J99" s="10" t="str">
        <f t="shared" si="15"/>
        <v>LOW PRICE</v>
      </c>
    </row>
    <row r="100" spans="1:10" hidden="1" x14ac:dyDescent="0.35">
      <c r="A100" t="s">
        <v>280</v>
      </c>
      <c r="B100" s="11">
        <v>1526</v>
      </c>
      <c r="C100" s="11">
        <v>1660</v>
      </c>
      <c r="D100" s="11">
        <f t="shared" si="12"/>
        <v>134</v>
      </c>
      <c r="E100" s="12">
        <v>0.08</v>
      </c>
      <c r="F100" s="12" t="str">
        <f t="shared" si="13"/>
        <v>LOW DISCOUNT</v>
      </c>
      <c r="G100" s="10"/>
      <c r="H100" s="13"/>
      <c r="I100" s="10" t="str">
        <f t="shared" si="14"/>
        <v>NOT PROVIDED</v>
      </c>
      <c r="J100" s="10" t="str">
        <f t="shared" si="15"/>
        <v>MEDIUM PRICE</v>
      </c>
    </row>
    <row r="101" spans="1:10" hidden="1" x14ac:dyDescent="0.35">
      <c r="A101" t="s">
        <v>261</v>
      </c>
      <c r="B101" s="11">
        <v>799</v>
      </c>
      <c r="C101" s="11">
        <v>900</v>
      </c>
      <c r="D101" s="11">
        <f t="shared" si="12"/>
        <v>101</v>
      </c>
      <c r="E101" s="12">
        <v>0.11</v>
      </c>
      <c r="F101" s="12" t="str">
        <f t="shared" si="13"/>
        <v>LOW DISCOUNT</v>
      </c>
      <c r="G101" s="10"/>
      <c r="H101" s="13"/>
      <c r="I101" s="10" t="str">
        <f t="shared" si="14"/>
        <v>NOT PROVIDED</v>
      </c>
      <c r="J101" s="10" t="str">
        <f t="shared" si="15"/>
        <v>LOW PRICE</v>
      </c>
    </row>
    <row r="102" spans="1:10" hidden="1" x14ac:dyDescent="0.35">
      <c r="A102" t="s">
        <v>274</v>
      </c>
      <c r="B102" s="11">
        <v>105</v>
      </c>
      <c r="C102" s="11">
        <v>200</v>
      </c>
      <c r="D102" s="11">
        <f t="shared" si="12"/>
        <v>95</v>
      </c>
      <c r="E102" s="12">
        <v>0.48</v>
      </c>
      <c r="F102" s="12" t="str">
        <f t="shared" si="13"/>
        <v>HIGH DISCOUNT</v>
      </c>
      <c r="G102" s="10"/>
      <c r="H102" s="13"/>
      <c r="I102" s="10" t="str">
        <f t="shared" si="14"/>
        <v>NOT PROVIDED</v>
      </c>
      <c r="J102" s="10" t="str">
        <f t="shared" si="15"/>
        <v>LOW PRICE</v>
      </c>
    </row>
    <row r="103" spans="1:10" hidden="1" x14ac:dyDescent="0.35">
      <c r="A103" t="s">
        <v>163</v>
      </c>
      <c r="B103" s="11">
        <v>299</v>
      </c>
      <c r="C103" s="11">
        <v>384</v>
      </c>
      <c r="D103" s="11">
        <f t="shared" si="12"/>
        <v>85</v>
      </c>
      <c r="E103" s="12">
        <v>0.22</v>
      </c>
      <c r="F103" s="12" t="str">
        <f t="shared" si="13"/>
        <v>MEDIUM DISCOUNT</v>
      </c>
      <c r="G103" s="10"/>
      <c r="H103" s="13"/>
      <c r="I103" s="10" t="str">
        <f t="shared" si="14"/>
        <v>NOT PROVIDED</v>
      </c>
      <c r="J103" s="10" t="str">
        <f t="shared" si="15"/>
        <v>LOW PRICE</v>
      </c>
    </row>
    <row r="104" spans="1:10" hidden="1" x14ac:dyDescent="0.35">
      <c r="A104" t="s">
        <v>237</v>
      </c>
      <c r="B104" s="11">
        <v>1732</v>
      </c>
      <c r="C104" s="11">
        <v>1799</v>
      </c>
      <c r="D104" s="11">
        <f t="shared" si="12"/>
        <v>67</v>
      </c>
      <c r="E104" s="12">
        <v>0.04</v>
      </c>
      <c r="F104" s="12" t="str">
        <f t="shared" si="13"/>
        <v>LOW DISCOUNT</v>
      </c>
      <c r="G104" s="10"/>
      <c r="H104" s="13"/>
      <c r="I104" s="10" t="str">
        <f t="shared" si="14"/>
        <v>NOT PROVIDED</v>
      </c>
      <c r="J104" s="10" t="str">
        <f t="shared" si="15"/>
        <v>MEDIUM PRICE</v>
      </c>
    </row>
    <row r="105" spans="1:10" hidden="1" x14ac:dyDescent="0.35">
      <c r="A105" t="s">
        <v>304</v>
      </c>
      <c r="B105" s="11">
        <v>198</v>
      </c>
      <c r="C105" s="11">
        <v>260</v>
      </c>
      <c r="D105" s="11">
        <f t="shared" si="12"/>
        <v>62</v>
      </c>
      <c r="E105" s="12">
        <v>0.24</v>
      </c>
      <c r="F105" s="12" t="str">
        <f t="shared" si="13"/>
        <v>MEDIUM DISCOUNT</v>
      </c>
      <c r="G105" s="10"/>
      <c r="H105" s="13"/>
      <c r="I105" s="10" t="str">
        <f t="shared" si="14"/>
        <v>NOT PROVIDED</v>
      </c>
      <c r="J105" s="10" t="str">
        <f t="shared" si="15"/>
        <v>LOW PRICE</v>
      </c>
    </row>
    <row r="106" spans="1:10" hidden="1" x14ac:dyDescent="0.35">
      <c r="A106" t="s">
        <v>71</v>
      </c>
      <c r="B106" s="11">
        <v>38</v>
      </c>
      <c r="C106" s="11">
        <v>80</v>
      </c>
      <c r="D106" s="11">
        <f t="shared" si="12"/>
        <v>42</v>
      </c>
      <c r="E106" s="12">
        <v>0.53</v>
      </c>
      <c r="F106" s="12" t="str">
        <f t="shared" si="13"/>
        <v>HIGH DISCOUNT</v>
      </c>
      <c r="G106" s="10">
        <v>13</v>
      </c>
      <c r="H106" s="13">
        <v>3.3</v>
      </c>
      <c r="I106" s="10" t="str">
        <f t="shared" si="14"/>
        <v>AVERAGE</v>
      </c>
      <c r="J106" s="10" t="str">
        <f t="shared" si="15"/>
        <v>LOW PRICE</v>
      </c>
    </row>
    <row r="107" spans="1:10" hidden="1" x14ac:dyDescent="0.35">
      <c r="A107" t="s">
        <v>312</v>
      </c>
      <c r="B107" s="11">
        <v>1658</v>
      </c>
      <c r="C107" s="11">
        <v>1699</v>
      </c>
      <c r="D107" s="11">
        <f t="shared" si="12"/>
        <v>41</v>
      </c>
      <c r="E107" s="12">
        <v>0.02</v>
      </c>
      <c r="F107" s="12" t="str">
        <f t="shared" si="13"/>
        <v>LOW DISCOUNT</v>
      </c>
      <c r="G107" s="10"/>
      <c r="H107" s="13"/>
      <c r="I107" s="10" t="str">
        <f t="shared" si="14"/>
        <v>NOT PROVIDED</v>
      </c>
      <c r="J107" s="10" t="str">
        <f t="shared" si="15"/>
        <v>MEDIUM PRICE</v>
      </c>
    </row>
    <row r="108" spans="1:10" hidden="1" x14ac:dyDescent="0.35">
      <c r="A108" t="s">
        <v>165</v>
      </c>
      <c r="B108" s="11">
        <v>1459</v>
      </c>
      <c r="C108" s="11">
        <v>1499</v>
      </c>
      <c r="D108" s="11">
        <f t="shared" si="12"/>
        <v>40</v>
      </c>
      <c r="E108" s="12">
        <v>0.03</v>
      </c>
      <c r="F108" s="12" t="str">
        <f t="shared" si="13"/>
        <v>LOW DISCOUNT</v>
      </c>
      <c r="G108" s="10"/>
      <c r="H108" s="13"/>
      <c r="I108" s="10" t="str">
        <f t="shared" si="14"/>
        <v>NOT PROVIDED</v>
      </c>
      <c r="J108" s="10" t="str">
        <f t="shared" si="15"/>
        <v>MEDIUM PRICE</v>
      </c>
    </row>
    <row r="109" spans="1:10" hidden="1" x14ac:dyDescent="0.35">
      <c r="A109" t="s">
        <v>160</v>
      </c>
      <c r="B109" s="11">
        <v>1660</v>
      </c>
      <c r="C109" s="11">
        <v>1699</v>
      </c>
      <c r="D109" s="11">
        <f t="shared" si="12"/>
        <v>39</v>
      </c>
      <c r="E109" s="12">
        <v>0.02</v>
      </c>
      <c r="F109" s="12" t="str">
        <f t="shared" si="13"/>
        <v>LOW DISCOUNT</v>
      </c>
      <c r="G109" s="10"/>
      <c r="H109" s="13"/>
      <c r="I109" s="10" t="str">
        <f t="shared" si="14"/>
        <v>NOT PROVIDED</v>
      </c>
      <c r="J109" s="10" t="str">
        <f t="shared" si="15"/>
        <v>MEDIUM PRICE</v>
      </c>
    </row>
    <row r="110" spans="1:10" hidden="1" x14ac:dyDescent="0.35">
      <c r="A110" t="s">
        <v>140</v>
      </c>
      <c r="B110" s="11">
        <v>2132</v>
      </c>
      <c r="C110" s="11">
        <v>2169</v>
      </c>
      <c r="D110" s="11">
        <f t="shared" si="12"/>
        <v>37</v>
      </c>
      <c r="E110" s="12">
        <v>0.02</v>
      </c>
      <c r="F110" s="12" t="str">
        <f t="shared" si="13"/>
        <v>LOW DISCOUNT</v>
      </c>
      <c r="G110" s="10"/>
      <c r="H110" s="13"/>
      <c r="I110" s="10" t="str">
        <f t="shared" si="14"/>
        <v>NOT PROVIDED</v>
      </c>
      <c r="J110" s="10" t="str">
        <f t="shared" si="15"/>
        <v>HIGH PRICE</v>
      </c>
    </row>
    <row r="111" spans="1:10" hidden="1" x14ac:dyDescent="0.35">
      <c r="A111" t="s">
        <v>282</v>
      </c>
      <c r="B111" s="11">
        <v>1462</v>
      </c>
      <c r="C111" s="11">
        <v>1499</v>
      </c>
      <c r="D111" s="11">
        <f t="shared" si="12"/>
        <v>37</v>
      </c>
      <c r="E111" s="12">
        <v>0.02</v>
      </c>
      <c r="F111" s="12" t="str">
        <f t="shared" si="13"/>
        <v>LOW DISCOUNT</v>
      </c>
      <c r="G111" s="10"/>
      <c r="H111" s="13"/>
      <c r="I111" s="10" t="str">
        <f t="shared" si="14"/>
        <v>NOT PROVIDED</v>
      </c>
      <c r="J111" s="10" t="str">
        <f t="shared" si="15"/>
        <v>MEDIUM PRICE</v>
      </c>
    </row>
    <row r="112" spans="1:10" hidden="1" x14ac:dyDescent="0.35">
      <c r="A112" t="s">
        <v>251</v>
      </c>
      <c r="B112" s="11">
        <v>1666</v>
      </c>
      <c r="C112" s="11">
        <v>1699</v>
      </c>
      <c r="D112" s="11">
        <f t="shared" si="12"/>
        <v>33</v>
      </c>
      <c r="E112" s="12">
        <v>0.02</v>
      </c>
      <c r="F112" s="12" t="str">
        <f t="shared" si="13"/>
        <v>LOW DISCOUNT</v>
      </c>
      <c r="G112" s="10"/>
      <c r="H112" s="13"/>
      <c r="I112" s="10" t="str">
        <f t="shared" si="14"/>
        <v>NOT PROVIDED</v>
      </c>
      <c r="J112" s="10" t="str">
        <f t="shared" si="15"/>
        <v>MEDIUM PRICE</v>
      </c>
    </row>
    <row r="113" spans="1:10" hidden="1" x14ac:dyDescent="0.35">
      <c r="A113" t="s">
        <v>314</v>
      </c>
      <c r="B113" s="11">
        <v>1768</v>
      </c>
      <c r="C113" s="11">
        <v>1799</v>
      </c>
      <c r="D113" s="11">
        <f t="shared" si="12"/>
        <v>31</v>
      </c>
      <c r="E113" s="12">
        <v>0.02</v>
      </c>
      <c r="F113" s="12" t="str">
        <f t="shared" si="13"/>
        <v>LOW DISCOUNT</v>
      </c>
      <c r="G113" s="10"/>
      <c r="H113" s="13"/>
      <c r="I113" s="10" t="str">
        <f t="shared" si="14"/>
        <v>NOT PROVIDED</v>
      </c>
      <c r="J113" s="10" t="str">
        <f t="shared" si="15"/>
        <v>MEDIUM PRICE</v>
      </c>
    </row>
    <row r="114" spans="1:10" hidden="1" x14ac:dyDescent="0.35">
      <c r="A114" t="s">
        <v>301</v>
      </c>
      <c r="B114" s="11">
        <v>1875</v>
      </c>
      <c r="C114" s="11">
        <v>1899</v>
      </c>
      <c r="D114" s="11">
        <f t="shared" si="12"/>
        <v>24</v>
      </c>
      <c r="E114" s="12">
        <v>0.01</v>
      </c>
      <c r="F114" s="12" t="str">
        <f t="shared" si="13"/>
        <v>LOW DISCOUNT</v>
      </c>
      <c r="G114" s="10"/>
      <c r="H114" s="13"/>
      <c r="I114" s="10" t="str">
        <f t="shared" si="14"/>
        <v>NOT PROVIDED</v>
      </c>
      <c r="J114" s="10" t="str">
        <f t="shared" si="15"/>
        <v>MEDIUM PRICE</v>
      </c>
    </row>
    <row r="115" spans="1:10" hidden="1" x14ac:dyDescent="0.35">
      <c r="B115" s="11"/>
      <c r="C115" s="11"/>
      <c r="D115" s="11"/>
      <c r="E115" s="12"/>
      <c r="F115" s="12"/>
      <c r="G115" s="10"/>
      <c r="H115" s="13"/>
      <c r="I115" s="10"/>
      <c r="J115" s="10"/>
    </row>
  </sheetData>
  <autoFilter ref="A1:U115" xr:uid="{3E957AD3-10C3-4316-BFEC-86E483D579E7}">
    <filterColumn colId="3">
      <top10 val="10" filterVal="1360"/>
    </filterColumn>
    <sortState xmlns:xlrd2="http://schemas.microsoft.com/office/spreadsheetml/2017/richdata2" ref="A2:U115">
      <sortCondition descending="1" ref="D1:D115"/>
    </sortState>
  </autoFilter>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3346D-81CF-40F9-81DB-E387C2AECFA4}">
  <dimension ref="A1:J115"/>
  <sheetViews>
    <sheetView topLeftCell="A6" workbookViewId="0">
      <selection activeCell="G1" activeCellId="1" sqref="E1:E1048576 G1:G1048576"/>
    </sheetView>
  </sheetViews>
  <sheetFormatPr defaultRowHeight="14.5" x14ac:dyDescent="0.35"/>
  <cols>
    <col min="1" max="1" width="74.36328125" customWidth="1"/>
    <col min="2" max="2" width="18.453125" style="3" bestFit="1" customWidth="1"/>
    <col min="3" max="3" width="11.1796875" style="3" bestFit="1" customWidth="1"/>
    <col min="4" max="4" width="16.26953125" style="3" bestFit="1" customWidth="1"/>
    <col min="5" max="5" width="10.36328125" style="1" bestFit="1" customWidth="1"/>
    <col min="6" max="6" width="20.26953125" style="1" bestFit="1" customWidth="1"/>
    <col min="8" max="8" width="9.1796875" style="4" bestFit="1" customWidth="1"/>
    <col min="9" max="9" width="18" bestFit="1" customWidth="1"/>
    <col min="10" max="10" width="16.36328125" bestFit="1" customWidth="1"/>
  </cols>
  <sheetData>
    <row r="1" spans="1:10" s="5" customFormat="1" ht="18.5" x14ac:dyDescent="0.45">
      <c r="A1" s="5" t="s">
        <v>0</v>
      </c>
      <c r="B1" s="7" t="s">
        <v>1</v>
      </c>
      <c r="C1" s="7" t="s">
        <v>326</v>
      </c>
      <c r="D1" s="7" t="s">
        <v>331</v>
      </c>
      <c r="E1" s="8" t="s">
        <v>3</v>
      </c>
      <c r="F1" s="8" t="s">
        <v>323</v>
      </c>
      <c r="G1" s="6" t="s">
        <v>4</v>
      </c>
      <c r="H1" s="9" t="s">
        <v>5</v>
      </c>
      <c r="I1" s="6" t="s">
        <v>324</v>
      </c>
      <c r="J1" s="6" t="s">
        <v>325</v>
      </c>
    </row>
    <row r="2" spans="1:10" x14ac:dyDescent="0.35">
      <c r="A2" t="s">
        <v>6</v>
      </c>
      <c r="B2" s="11">
        <v>950</v>
      </c>
      <c r="C2" s="11">
        <v>1525</v>
      </c>
      <c r="D2" s="11">
        <f>C2-B2</f>
        <v>575</v>
      </c>
      <c r="E2" s="12">
        <v>0.38</v>
      </c>
      <c r="F2" s="12" t="str">
        <f>IF(E2&lt;20%,"LOW DISCOUNT",IF(E2&lt;40%,"MEDIUM DISCOUNT","HIGH DISCOUNT"))</f>
        <v>MEDIUM DISCOUNT</v>
      </c>
      <c r="G2" s="10">
        <v>2</v>
      </c>
      <c r="H2" s="13">
        <v>4.5</v>
      </c>
      <c r="I2" s="10" t="str">
        <f>IF(ISBLANK(H2),"NOT PROVIDED",IF(H2&lt;3,"POOR",IF(H2&lt;4.5,"AVERAGE","EXCELLENT")))</f>
        <v>EXCELLENT</v>
      </c>
      <c r="J2" s="10" t="str">
        <f>IF(B2&lt;1000,"LOW PRICE",IF(B2&lt;2000,"MEDIUM PRICE","HIGH PRICE"))</f>
        <v>LOW PRICE</v>
      </c>
    </row>
    <row r="3" spans="1:10" x14ac:dyDescent="0.35">
      <c r="A3" t="s">
        <v>10</v>
      </c>
      <c r="B3" s="11">
        <v>527</v>
      </c>
      <c r="C3" s="11">
        <v>999</v>
      </c>
      <c r="D3" s="11">
        <f t="shared" ref="D3:D67" si="0">C3-B3</f>
        <v>472</v>
      </c>
      <c r="E3" s="12">
        <v>0.47</v>
      </c>
      <c r="F3" s="12" t="str">
        <f t="shared" ref="F3:F67" si="1">IF(E3&lt;20%,"LOW DISCOUNT",IF(E3&lt;40%,"MEDIUM DISCOUNT","HIGH DISCOUNT"))</f>
        <v>HIGH DISCOUNT</v>
      </c>
      <c r="G3" s="10">
        <v>14</v>
      </c>
      <c r="H3" s="13">
        <v>4.0999999999999996</v>
      </c>
      <c r="I3" s="10" t="str">
        <f t="shared" ref="I3:I67" si="2">IF(ISBLANK(H3),"NOT PROVIDED",IF(H3&lt;3,"POOR",IF(H3&lt;4.5,"AVERAGE","EXCELLENT")))</f>
        <v>AVERAGE</v>
      </c>
      <c r="J3" s="10" t="str">
        <f t="shared" ref="J3:J67" si="3">IF(B3&lt;1000,"LOW PRICE",IF(B3&lt;2000,"MEDIUM PRICE","HIGH PRICE"))</f>
        <v>LOW PRICE</v>
      </c>
    </row>
    <row r="4" spans="1:10" x14ac:dyDescent="0.35">
      <c r="A4" t="s">
        <v>14</v>
      </c>
      <c r="B4" s="11">
        <v>2199</v>
      </c>
      <c r="C4" s="11">
        <v>2923</v>
      </c>
      <c r="D4" s="11">
        <f t="shared" si="0"/>
        <v>724</v>
      </c>
      <c r="E4" s="12">
        <v>0.25</v>
      </c>
      <c r="F4" s="12" t="str">
        <f t="shared" si="1"/>
        <v>MEDIUM DISCOUNT</v>
      </c>
      <c r="G4" s="10">
        <v>24</v>
      </c>
      <c r="H4" s="13">
        <v>4.5999999999999996</v>
      </c>
      <c r="I4" s="10" t="str">
        <f t="shared" si="2"/>
        <v>EXCELLENT</v>
      </c>
      <c r="J4" s="10" t="str">
        <f t="shared" si="3"/>
        <v>HIGH PRICE</v>
      </c>
    </row>
    <row r="5" spans="1:10" x14ac:dyDescent="0.35">
      <c r="A5" t="s">
        <v>18</v>
      </c>
      <c r="B5" s="11">
        <v>1580</v>
      </c>
      <c r="C5" s="11">
        <v>2499</v>
      </c>
      <c r="D5" s="11">
        <f t="shared" si="0"/>
        <v>919</v>
      </c>
      <c r="E5" s="12">
        <v>0.37</v>
      </c>
      <c r="F5" s="12" t="str">
        <f t="shared" si="1"/>
        <v>MEDIUM DISCOUNT</v>
      </c>
      <c r="G5" s="10">
        <v>7</v>
      </c>
      <c r="H5" s="13">
        <v>4.7</v>
      </c>
      <c r="I5" s="10" t="str">
        <f t="shared" si="2"/>
        <v>EXCELLENT</v>
      </c>
      <c r="J5" s="10" t="str">
        <f t="shared" si="3"/>
        <v>MEDIUM PRICE</v>
      </c>
    </row>
    <row r="6" spans="1:10" x14ac:dyDescent="0.35">
      <c r="A6" t="s">
        <v>22</v>
      </c>
      <c r="B6" s="11">
        <v>1740</v>
      </c>
      <c r="C6" s="11">
        <v>2356</v>
      </c>
      <c r="D6" s="11">
        <f t="shared" si="0"/>
        <v>616</v>
      </c>
      <c r="E6" s="12">
        <v>0.26</v>
      </c>
      <c r="F6" s="12" t="str">
        <f t="shared" si="1"/>
        <v>MEDIUM DISCOUNT</v>
      </c>
      <c r="G6" s="10">
        <v>5</v>
      </c>
      <c r="H6" s="13">
        <v>4.8</v>
      </c>
      <c r="I6" s="10" t="str">
        <f t="shared" si="2"/>
        <v>EXCELLENT</v>
      </c>
      <c r="J6" s="10" t="str">
        <f t="shared" si="3"/>
        <v>MEDIUM PRICE</v>
      </c>
    </row>
    <row r="7" spans="1:10" x14ac:dyDescent="0.35">
      <c r="A7" t="s">
        <v>26</v>
      </c>
      <c r="B7" s="11">
        <v>2999</v>
      </c>
      <c r="C7" s="11">
        <v>3290</v>
      </c>
      <c r="D7" s="11">
        <f t="shared" si="0"/>
        <v>291</v>
      </c>
      <c r="E7" s="12">
        <v>0.09</v>
      </c>
      <c r="F7" s="12" t="str">
        <f t="shared" si="1"/>
        <v>LOW DISCOUNT</v>
      </c>
      <c r="G7" s="10">
        <v>15</v>
      </c>
      <c r="H7" s="13">
        <v>4</v>
      </c>
      <c r="I7" s="10" t="str">
        <f t="shared" si="2"/>
        <v>AVERAGE</v>
      </c>
      <c r="J7" s="10" t="str">
        <f t="shared" si="3"/>
        <v>HIGH PRICE</v>
      </c>
    </row>
    <row r="8" spans="1:10" x14ac:dyDescent="0.35">
      <c r="A8" t="s">
        <v>30</v>
      </c>
      <c r="B8" s="11">
        <v>2319</v>
      </c>
      <c r="C8" s="11">
        <v>3032</v>
      </c>
      <c r="D8" s="11">
        <f t="shared" si="0"/>
        <v>713</v>
      </c>
      <c r="E8" s="12">
        <v>0.24</v>
      </c>
      <c r="F8" s="12" t="str">
        <f t="shared" si="1"/>
        <v>MEDIUM DISCOUNT</v>
      </c>
      <c r="G8" s="10">
        <v>55</v>
      </c>
      <c r="H8" s="13">
        <v>4.5999999999999996</v>
      </c>
      <c r="I8" s="10" t="str">
        <f t="shared" si="2"/>
        <v>EXCELLENT</v>
      </c>
      <c r="J8" s="10" t="str">
        <f t="shared" si="3"/>
        <v>HIGH PRICE</v>
      </c>
    </row>
    <row r="9" spans="1:10" x14ac:dyDescent="0.35">
      <c r="A9" t="s">
        <v>33</v>
      </c>
      <c r="B9" s="11">
        <v>988</v>
      </c>
      <c r="C9" s="11">
        <v>1580</v>
      </c>
      <c r="D9" s="11">
        <f t="shared" si="0"/>
        <v>592</v>
      </c>
      <c r="E9" s="12">
        <v>0.37</v>
      </c>
      <c r="F9" s="12" t="str">
        <f t="shared" si="1"/>
        <v>MEDIUM DISCOUNT</v>
      </c>
      <c r="G9" s="10">
        <v>2</v>
      </c>
      <c r="H9" s="13">
        <v>4</v>
      </c>
      <c r="I9" s="10" t="str">
        <f t="shared" si="2"/>
        <v>AVERAGE</v>
      </c>
      <c r="J9" s="10" t="str">
        <f t="shared" si="3"/>
        <v>LOW PRICE</v>
      </c>
    </row>
    <row r="10" spans="1:10" x14ac:dyDescent="0.35">
      <c r="A10" t="s">
        <v>35</v>
      </c>
      <c r="B10" s="11">
        <v>1274</v>
      </c>
      <c r="C10" s="11">
        <v>2800</v>
      </c>
      <c r="D10" s="11">
        <f t="shared" si="0"/>
        <v>1526</v>
      </c>
      <c r="E10" s="12">
        <v>0.55000000000000004</v>
      </c>
      <c r="F10" s="12" t="str">
        <f t="shared" si="1"/>
        <v>HIGH DISCOUNT</v>
      </c>
      <c r="G10" s="10">
        <v>5</v>
      </c>
      <c r="H10" s="13">
        <v>4.8</v>
      </c>
      <c r="I10" s="10" t="str">
        <f t="shared" si="2"/>
        <v>EXCELLENT</v>
      </c>
      <c r="J10" s="10" t="str">
        <f t="shared" si="3"/>
        <v>MEDIUM PRICE</v>
      </c>
    </row>
    <row r="11" spans="1:10" x14ac:dyDescent="0.35">
      <c r="A11" t="s">
        <v>38</v>
      </c>
      <c r="B11" s="11">
        <v>1600</v>
      </c>
      <c r="C11" s="11">
        <v>2929</v>
      </c>
      <c r="D11" s="11">
        <f t="shared" si="0"/>
        <v>1329</v>
      </c>
      <c r="E11" s="12">
        <v>0.45</v>
      </c>
      <c r="F11" s="12" t="str">
        <f t="shared" si="1"/>
        <v>HIGH DISCOUNT</v>
      </c>
      <c r="G11" s="10">
        <v>5</v>
      </c>
      <c r="H11" s="13">
        <v>3.8</v>
      </c>
      <c r="I11" s="10" t="str">
        <f t="shared" si="2"/>
        <v>AVERAGE</v>
      </c>
      <c r="J11" s="10" t="str">
        <f t="shared" si="3"/>
        <v>MEDIUM PRICE</v>
      </c>
    </row>
    <row r="12" spans="1:10" x14ac:dyDescent="0.35">
      <c r="A12" t="s">
        <v>42</v>
      </c>
      <c r="B12" s="11">
        <v>799</v>
      </c>
      <c r="C12" s="11">
        <v>999</v>
      </c>
      <c r="D12" s="11">
        <f t="shared" si="0"/>
        <v>200</v>
      </c>
      <c r="E12" s="12">
        <v>0.2</v>
      </c>
      <c r="F12" s="12" t="str">
        <f t="shared" si="1"/>
        <v>MEDIUM DISCOUNT</v>
      </c>
      <c r="G12" s="10">
        <v>12</v>
      </c>
      <c r="H12" s="13">
        <v>4.0999999999999996</v>
      </c>
      <c r="I12" s="10" t="str">
        <f t="shared" si="2"/>
        <v>AVERAGE</v>
      </c>
      <c r="J12" s="10" t="str">
        <f t="shared" si="3"/>
        <v>LOW PRICE</v>
      </c>
    </row>
    <row r="13" spans="1:10" x14ac:dyDescent="0.35">
      <c r="A13" t="s">
        <v>44</v>
      </c>
      <c r="B13" s="11">
        <v>990</v>
      </c>
      <c r="C13" s="11">
        <v>1500</v>
      </c>
      <c r="D13" s="11">
        <f t="shared" si="0"/>
        <v>510</v>
      </c>
      <c r="E13" s="12">
        <v>0.34</v>
      </c>
      <c r="F13" s="12" t="str">
        <f t="shared" si="1"/>
        <v>MEDIUM DISCOUNT</v>
      </c>
      <c r="G13" s="10">
        <v>39</v>
      </c>
      <c r="H13" s="13">
        <v>4.7</v>
      </c>
      <c r="I13" s="10" t="str">
        <f t="shared" si="2"/>
        <v>EXCELLENT</v>
      </c>
      <c r="J13" s="10" t="str">
        <f t="shared" si="3"/>
        <v>LOW PRICE</v>
      </c>
    </row>
    <row r="14" spans="1:10" x14ac:dyDescent="0.35">
      <c r="A14" t="s">
        <v>47</v>
      </c>
      <c r="B14" s="11">
        <v>552</v>
      </c>
      <c r="C14" s="11">
        <v>1035</v>
      </c>
      <c r="D14" s="11">
        <f t="shared" si="0"/>
        <v>483</v>
      </c>
      <c r="E14" s="12">
        <v>0.47</v>
      </c>
      <c r="F14" s="12" t="str">
        <f t="shared" si="1"/>
        <v>HIGH DISCOUNT</v>
      </c>
      <c r="G14" s="10">
        <v>12</v>
      </c>
      <c r="H14" s="13">
        <v>4.8</v>
      </c>
      <c r="I14" s="10" t="str">
        <f t="shared" si="2"/>
        <v>EXCELLENT</v>
      </c>
      <c r="J14" s="10" t="str">
        <f t="shared" si="3"/>
        <v>LOW PRICE</v>
      </c>
    </row>
    <row r="15" spans="1:10" x14ac:dyDescent="0.35">
      <c r="A15" t="s">
        <v>50</v>
      </c>
      <c r="B15" s="11">
        <v>501</v>
      </c>
      <c r="C15" s="11">
        <v>860</v>
      </c>
      <c r="D15" s="11">
        <f t="shared" si="0"/>
        <v>359</v>
      </c>
      <c r="E15" s="12">
        <v>0.42</v>
      </c>
      <c r="F15" s="12" t="str">
        <f t="shared" si="1"/>
        <v>HIGH DISCOUNT</v>
      </c>
      <c r="G15" s="10">
        <v>6</v>
      </c>
      <c r="H15" s="13">
        <v>4.5</v>
      </c>
      <c r="I15" s="10" t="str">
        <f t="shared" si="2"/>
        <v>EXCELLENT</v>
      </c>
      <c r="J15" s="10" t="str">
        <f t="shared" si="3"/>
        <v>LOW PRICE</v>
      </c>
    </row>
    <row r="16" spans="1:10" x14ac:dyDescent="0.35">
      <c r="A16" t="s">
        <v>53</v>
      </c>
      <c r="B16" s="11">
        <v>1680</v>
      </c>
      <c r="C16" s="11">
        <v>2499</v>
      </c>
      <c r="D16" s="11">
        <f t="shared" si="0"/>
        <v>819</v>
      </c>
      <c r="E16" s="12">
        <v>0.33</v>
      </c>
      <c r="F16" s="12" t="str">
        <f t="shared" si="1"/>
        <v>MEDIUM DISCOUNT</v>
      </c>
      <c r="G16" s="10">
        <v>9</v>
      </c>
      <c r="H16" s="13">
        <v>4.2</v>
      </c>
      <c r="I16" s="10" t="str">
        <f t="shared" si="2"/>
        <v>AVERAGE</v>
      </c>
      <c r="J16" s="10" t="str">
        <f t="shared" si="3"/>
        <v>MEDIUM PRICE</v>
      </c>
    </row>
    <row r="17" spans="1:10" x14ac:dyDescent="0.35">
      <c r="A17" t="s">
        <v>56</v>
      </c>
      <c r="B17" s="11">
        <v>332</v>
      </c>
      <c r="C17" s="11">
        <v>684</v>
      </c>
      <c r="D17" s="11">
        <f t="shared" si="0"/>
        <v>352</v>
      </c>
      <c r="E17" s="12">
        <v>0.51</v>
      </c>
      <c r="F17" s="12" t="str">
        <f t="shared" si="1"/>
        <v>HIGH DISCOUNT</v>
      </c>
      <c r="G17" s="10">
        <v>2</v>
      </c>
      <c r="H17" s="13">
        <v>5</v>
      </c>
      <c r="I17" s="10" t="str">
        <f t="shared" si="2"/>
        <v>EXCELLENT</v>
      </c>
      <c r="J17" s="10" t="str">
        <f t="shared" si="3"/>
        <v>LOW PRICE</v>
      </c>
    </row>
    <row r="18" spans="1:10" x14ac:dyDescent="0.35">
      <c r="A18" t="s">
        <v>60</v>
      </c>
      <c r="B18" s="11">
        <v>195</v>
      </c>
      <c r="C18" s="11">
        <v>360</v>
      </c>
      <c r="D18" s="11">
        <f t="shared" si="0"/>
        <v>165</v>
      </c>
      <c r="E18" s="12">
        <v>0.46</v>
      </c>
      <c r="F18" s="12" t="str">
        <f t="shared" si="1"/>
        <v>HIGH DISCOUNT</v>
      </c>
      <c r="G18" s="10">
        <v>2</v>
      </c>
      <c r="H18" s="13">
        <v>5</v>
      </c>
      <c r="I18" s="10" t="str">
        <f t="shared" si="2"/>
        <v>EXCELLENT</v>
      </c>
      <c r="J18" s="10" t="str">
        <f t="shared" si="3"/>
        <v>LOW PRICE</v>
      </c>
    </row>
    <row r="19" spans="1:10" x14ac:dyDescent="0.35">
      <c r="A19" t="s">
        <v>63</v>
      </c>
      <c r="B19" s="11">
        <v>2025</v>
      </c>
      <c r="C19" s="11">
        <v>3971</v>
      </c>
      <c r="D19" s="11">
        <f t="shared" si="0"/>
        <v>1946</v>
      </c>
      <c r="E19" s="12">
        <v>0.49</v>
      </c>
      <c r="F19" s="12" t="str">
        <f t="shared" si="1"/>
        <v>HIGH DISCOUNT</v>
      </c>
      <c r="G19" s="10">
        <v>3</v>
      </c>
      <c r="H19" s="13">
        <v>5</v>
      </c>
      <c r="I19" s="10" t="str">
        <f t="shared" si="2"/>
        <v>EXCELLENT</v>
      </c>
      <c r="J19" s="10" t="str">
        <f t="shared" si="3"/>
        <v>HIGH PRICE</v>
      </c>
    </row>
    <row r="20" spans="1:10" x14ac:dyDescent="0.35">
      <c r="A20" t="s">
        <v>66</v>
      </c>
      <c r="B20" s="11">
        <v>2999</v>
      </c>
      <c r="C20" s="11">
        <v>3699</v>
      </c>
      <c r="D20" s="11">
        <f t="shared" si="0"/>
        <v>700</v>
      </c>
      <c r="E20" s="12">
        <v>0.19</v>
      </c>
      <c r="F20" s="12" t="str">
        <f t="shared" si="1"/>
        <v>LOW DISCOUNT</v>
      </c>
      <c r="G20" s="10">
        <v>5</v>
      </c>
      <c r="H20" s="13">
        <v>4.5999999999999996</v>
      </c>
      <c r="I20" s="10" t="str">
        <f t="shared" si="2"/>
        <v>EXCELLENT</v>
      </c>
      <c r="J20" s="10" t="str">
        <f t="shared" si="3"/>
        <v>HIGH PRICE</v>
      </c>
    </row>
    <row r="21" spans="1:10" x14ac:dyDescent="0.35">
      <c r="A21" t="s">
        <v>68</v>
      </c>
      <c r="B21" s="11">
        <v>998</v>
      </c>
      <c r="C21" s="11">
        <v>1966</v>
      </c>
      <c r="D21" s="11">
        <f t="shared" si="0"/>
        <v>968</v>
      </c>
      <c r="E21" s="12">
        <v>0.49</v>
      </c>
      <c r="F21" s="12" t="str">
        <f t="shared" si="1"/>
        <v>HIGH DISCOUNT</v>
      </c>
      <c r="G21" s="10">
        <v>44</v>
      </c>
      <c r="H21" s="13">
        <v>4.5999999999999996</v>
      </c>
      <c r="I21" s="10" t="str">
        <f t="shared" si="2"/>
        <v>EXCELLENT</v>
      </c>
      <c r="J21" s="10" t="str">
        <f t="shared" si="3"/>
        <v>LOW PRICE</v>
      </c>
    </row>
    <row r="22" spans="1:10" x14ac:dyDescent="0.35">
      <c r="A22" t="s">
        <v>71</v>
      </c>
      <c r="B22" s="11">
        <v>38</v>
      </c>
      <c r="C22" s="11">
        <v>80</v>
      </c>
      <c r="D22" s="11">
        <f t="shared" si="0"/>
        <v>42</v>
      </c>
      <c r="E22" s="12">
        <v>0.53</v>
      </c>
      <c r="F22" s="12" t="str">
        <f t="shared" si="1"/>
        <v>HIGH DISCOUNT</v>
      </c>
      <c r="G22" s="10">
        <v>13</v>
      </c>
      <c r="H22" s="13">
        <v>3.3</v>
      </c>
      <c r="I22" s="10" t="str">
        <f t="shared" si="2"/>
        <v>AVERAGE</v>
      </c>
      <c r="J22" s="10" t="str">
        <f t="shared" si="3"/>
        <v>LOW PRICE</v>
      </c>
    </row>
    <row r="23" spans="1:10" x14ac:dyDescent="0.35">
      <c r="A23" t="s">
        <v>75</v>
      </c>
      <c r="B23" s="11">
        <v>1860</v>
      </c>
      <c r="C23" s="11">
        <v>3220</v>
      </c>
      <c r="D23" s="11">
        <f t="shared" si="0"/>
        <v>1360</v>
      </c>
      <c r="E23" s="12">
        <v>0.42</v>
      </c>
      <c r="F23" s="12" t="str">
        <f t="shared" si="1"/>
        <v>HIGH DISCOUNT</v>
      </c>
      <c r="G23" s="10"/>
      <c r="H23" s="13"/>
      <c r="I23" s="10" t="str">
        <f t="shared" si="2"/>
        <v>NOT PROVIDED</v>
      </c>
      <c r="J23" s="10" t="str">
        <f t="shared" si="3"/>
        <v>MEDIUM PRICE</v>
      </c>
    </row>
    <row r="24" spans="1:10" x14ac:dyDescent="0.35">
      <c r="A24" t="s">
        <v>78</v>
      </c>
      <c r="B24" s="11">
        <v>880</v>
      </c>
      <c r="C24" s="11">
        <v>1350</v>
      </c>
      <c r="D24" s="11">
        <f t="shared" si="0"/>
        <v>470</v>
      </c>
      <c r="E24" s="12">
        <v>0.35</v>
      </c>
      <c r="F24" s="12" t="str">
        <f t="shared" si="1"/>
        <v>MEDIUM DISCOUNT</v>
      </c>
      <c r="G24" s="10">
        <v>6</v>
      </c>
      <c r="H24" s="13">
        <v>4</v>
      </c>
      <c r="I24" s="10" t="str">
        <f t="shared" si="2"/>
        <v>AVERAGE</v>
      </c>
      <c r="J24" s="10" t="str">
        <f t="shared" si="3"/>
        <v>LOW PRICE</v>
      </c>
    </row>
    <row r="25" spans="1:10" x14ac:dyDescent="0.35">
      <c r="A25" t="s">
        <v>81</v>
      </c>
      <c r="B25" s="11">
        <v>1650</v>
      </c>
      <c r="C25" s="11">
        <v>2150</v>
      </c>
      <c r="D25" s="11">
        <f t="shared" si="0"/>
        <v>500</v>
      </c>
      <c r="E25" s="12">
        <v>0.23</v>
      </c>
      <c r="F25" s="12" t="str">
        <f t="shared" si="1"/>
        <v>MEDIUM DISCOUNT</v>
      </c>
      <c r="G25" s="10">
        <v>14</v>
      </c>
      <c r="H25" s="13">
        <v>4.4000000000000004</v>
      </c>
      <c r="I25" s="10" t="str">
        <f t="shared" si="2"/>
        <v>AVERAGE</v>
      </c>
      <c r="J25" s="10" t="str">
        <f t="shared" si="3"/>
        <v>MEDIUM PRICE</v>
      </c>
    </row>
    <row r="26" spans="1:10" x14ac:dyDescent="0.35">
      <c r="A26" t="s">
        <v>85</v>
      </c>
      <c r="B26" s="11">
        <v>2048</v>
      </c>
      <c r="C26" s="11">
        <v>4500</v>
      </c>
      <c r="D26" s="11">
        <f t="shared" si="0"/>
        <v>2452</v>
      </c>
      <c r="E26" s="12">
        <v>0.54</v>
      </c>
      <c r="F26" s="12" t="str">
        <f t="shared" si="1"/>
        <v>HIGH DISCOUNT</v>
      </c>
      <c r="G26" s="10">
        <v>7</v>
      </c>
      <c r="H26" s="13">
        <v>4.3</v>
      </c>
      <c r="I26" s="10" t="str">
        <f t="shared" si="2"/>
        <v>AVERAGE</v>
      </c>
      <c r="J26" s="10" t="str">
        <f t="shared" si="3"/>
        <v>HIGH PRICE</v>
      </c>
    </row>
    <row r="27" spans="1:10" x14ac:dyDescent="0.35">
      <c r="A27" t="s">
        <v>89</v>
      </c>
      <c r="B27" s="11">
        <v>420</v>
      </c>
      <c r="C27" s="11">
        <v>647</v>
      </c>
      <c r="D27" s="11">
        <f t="shared" si="0"/>
        <v>227</v>
      </c>
      <c r="E27" s="12">
        <v>0.35</v>
      </c>
      <c r="F27" s="12" t="str">
        <f t="shared" si="1"/>
        <v>MEDIUM DISCOUNT</v>
      </c>
      <c r="G27" s="10">
        <v>49</v>
      </c>
      <c r="H27" s="13">
        <v>4.5999999999999996</v>
      </c>
      <c r="I27" s="10" t="str">
        <f t="shared" si="2"/>
        <v>EXCELLENT</v>
      </c>
      <c r="J27" s="10" t="str">
        <f t="shared" si="3"/>
        <v>LOW PRICE</v>
      </c>
    </row>
    <row r="28" spans="1:10" x14ac:dyDescent="0.35">
      <c r="A28" t="s">
        <v>92</v>
      </c>
      <c r="B28" s="11">
        <v>2880</v>
      </c>
      <c r="C28" s="11">
        <v>3520</v>
      </c>
      <c r="D28" s="11">
        <f t="shared" si="0"/>
        <v>640</v>
      </c>
      <c r="E28" s="12">
        <v>0.18</v>
      </c>
      <c r="F28" s="12" t="str">
        <f t="shared" si="1"/>
        <v>LOW DISCOUNT</v>
      </c>
      <c r="G28" s="10">
        <v>12</v>
      </c>
      <c r="H28" s="13">
        <v>3.8</v>
      </c>
      <c r="I28" s="10" t="str">
        <f t="shared" si="2"/>
        <v>AVERAGE</v>
      </c>
      <c r="J28" s="10" t="str">
        <f t="shared" si="3"/>
        <v>HIGH PRICE</v>
      </c>
    </row>
    <row r="29" spans="1:10" x14ac:dyDescent="0.35">
      <c r="A29" t="s">
        <v>95</v>
      </c>
      <c r="B29" s="11">
        <v>1350</v>
      </c>
      <c r="C29" s="11">
        <v>1990</v>
      </c>
      <c r="D29" s="11">
        <f t="shared" si="0"/>
        <v>640</v>
      </c>
      <c r="E29" s="12">
        <v>0.32</v>
      </c>
      <c r="F29" s="12" t="str">
        <f t="shared" si="1"/>
        <v>MEDIUM DISCOUNT</v>
      </c>
      <c r="G29" s="10">
        <v>13</v>
      </c>
      <c r="H29" s="13">
        <v>3.8</v>
      </c>
      <c r="I29" s="10" t="str">
        <f t="shared" si="2"/>
        <v>AVERAGE</v>
      </c>
      <c r="J29" s="10" t="str">
        <f t="shared" si="3"/>
        <v>MEDIUM PRICE</v>
      </c>
    </row>
    <row r="30" spans="1:10" x14ac:dyDescent="0.35">
      <c r="A30" t="s">
        <v>97</v>
      </c>
      <c r="B30" s="11">
        <v>1758</v>
      </c>
      <c r="C30" s="11">
        <v>2499</v>
      </c>
      <c r="D30" s="11">
        <f t="shared" si="0"/>
        <v>741</v>
      </c>
      <c r="E30" s="12">
        <v>0.3</v>
      </c>
      <c r="F30" s="12" t="str">
        <f t="shared" si="1"/>
        <v>MEDIUM DISCOUNT</v>
      </c>
      <c r="G30" s="10">
        <v>20</v>
      </c>
      <c r="H30" s="13">
        <v>4.0999999999999996</v>
      </c>
      <c r="I30" s="10" t="str">
        <f t="shared" si="2"/>
        <v>AVERAGE</v>
      </c>
      <c r="J30" s="10" t="str">
        <f t="shared" si="3"/>
        <v>MEDIUM PRICE</v>
      </c>
    </row>
    <row r="31" spans="1:10" x14ac:dyDescent="0.35">
      <c r="A31" t="s">
        <v>99</v>
      </c>
      <c r="B31" s="11">
        <v>2200</v>
      </c>
      <c r="C31" s="11">
        <v>4080</v>
      </c>
      <c r="D31" s="11">
        <f t="shared" si="0"/>
        <v>1880</v>
      </c>
      <c r="E31" s="12">
        <v>0.46</v>
      </c>
      <c r="F31" s="12" t="str">
        <f t="shared" si="1"/>
        <v>HIGH DISCOUNT</v>
      </c>
      <c r="G31" s="10"/>
      <c r="H31" s="13"/>
      <c r="I31" s="10" t="str">
        <f t="shared" si="2"/>
        <v>NOT PROVIDED</v>
      </c>
      <c r="J31" s="10" t="str">
        <f t="shared" si="3"/>
        <v>HIGH PRICE</v>
      </c>
    </row>
    <row r="32" spans="1:10" x14ac:dyDescent="0.35">
      <c r="A32" t="s">
        <v>102</v>
      </c>
      <c r="B32" s="11">
        <v>185</v>
      </c>
      <c r="C32" s="11">
        <v>382</v>
      </c>
      <c r="D32" s="11">
        <f t="shared" si="0"/>
        <v>197</v>
      </c>
      <c r="E32" s="12">
        <v>0.52</v>
      </c>
      <c r="F32" s="12" t="str">
        <f t="shared" si="1"/>
        <v>HIGH DISCOUNT</v>
      </c>
      <c r="G32" s="10">
        <v>9</v>
      </c>
      <c r="H32" s="13">
        <v>4.3</v>
      </c>
      <c r="I32" s="10" t="str">
        <f t="shared" si="2"/>
        <v>AVERAGE</v>
      </c>
      <c r="J32" s="10" t="str">
        <f t="shared" si="3"/>
        <v>LOW PRICE</v>
      </c>
    </row>
    <row r="33" spans="1:10" x14ac:dyDescent="0.35">
      <c r="A33" t="s">
        <v>105</v>
      </c>
      <c r="B33" s="11">
        <v>980</v>
      </c>
      <c r="C33" s="11">
        <v>1490</v>
      </c>
      <c r="D33" s="11">
        <f t="shared" si="0"/>
        <v>510</v>
      </c>
      <c r="E33" s="12">
        <v>0.34</v>
      </c>
      <c r="F33" s="12" t="str">
        <f t="shared" si="1"/>
        <v>MEDIUM DISCOUNT</v>
      </c>
      <c r="G33" s="10">
        <v>12</v>
      </c>
      <c r="H33" s="13">
        <v>4.7</v>
      </c>
      <c r="I33" s="10" t="str">
        <f t="shared" si="2"/>
        <v>EXCELLENT</v>
      </c>
      <c r="J33" s="10" t="str">
        <f t="shared" si="3"/>
        <v>LOW PRICE</v>
      </c>
    </row>
    <row r="34" spans="1:10" x14ac:dyDescent="0.35">
      <c r="A34" t="s">
        <v>108</v>
      </c>
      <c r="B34" s="11">
        <v>1820</v>
      </c>
      <c r="C34" s="11">
        <v>3490</v>
      </c>
      <c r="D34" s="11">
        <f t="shared" si="0"/>
        <v>1670</v>
      </c>
      <c r="E34" s="12">
        <v>0.48</v>
      </c>
      <c r="F34" s="12" t="str">
        <f t="shared" si="1"/>
        <v>HIGH DISCOUNT</v>
      </c>
      <c r="G34" s="10">
        <v>9</v>
      </c>
      <c r="H34" s="13">
        <v>4.3</v>
      </c>
      <c r="I34" s="10" t="str">
        <f t="shared" si="2"/>
        <v>AVERAGE</v>
      </c>
      <c r="J34" s="10" t="str">
        <f t="shared" si="3"/>
        <v>MEDIUM PRICE</v>
      </c>
    </row>
    <row r="35" spans="1:10" x14ac:dyDescent="0.35">
      <c r="A35" t="s">
        <v>111</v>
      </c>
      <c r="B35" s="11">
        <v>1940</v>
      </c>
      <c r="C35" s="11">
        <v>2650</v>
      </c>
      <c r="D35" s="11">
        <f t="shared" si="0"/>
        <v>710</v>
      </c>
      <c r="E35" s="12">
        <v>0.27</v>
      </c>
      <c r="F35" s="12" t="str">
        <f t="shared" si="1"/>
        <v>MEDIUM DISCOUNT</v>
      </c>
      <c r="G35" s="10">
        <v>20</v>
      </c>
      <c r="H35" s="13">
        <v>4.7</v>
      </c>
      <c r="I35" s="10" t="str">
        <f t="shared" si="2"/>
        <v>EXCELLENT</v>
      </c>
      <c r="J35" s="10" t="str">
        <f t="shared" si="3"/>
        <v>MEDIUM PRICE</v>
      </c>
    </row>
    <row r="36" spans="1:10" x14ac:dyDescent="0.35">
      <c r="A36" t="s">
        <v>114</v>
      </c>
      <c r="B36" s="11">
        <v>1980</v>
      </c>
      <c r="C36" s="11">
        <v>2699</v>
      </c>
      <c r="D36" s="11">
        <f t="shared" si="0"/>
        <v>719</v>
      </c>
      <c r="E36" s="12">
        <v>0.27</v>
      </c>
      <c r="F36" s="12" t="str">
        <f t="shared" si="1"/>
        <v>MEDIUM DISCOUNT</v>
      </c>
      <c r="G36" s="10">
        <v>32</v>
      </c>
      <c r="H36" s="13">
        <v>4.5</v>
      </c>
      <c r="I36" s="10" t="str">
        <f t="shared" si="2"/>
        <v>EXCELLENT</v>
      </c>
      <c r="J36" s="10" t="str">
        <f t="shared" si="3"/>
        <v>MEDIUM PRICE</v>
      </c>
    </row>
    <row r="37" spans="1:10" x14ac:dyDescent="0.35">
      <c r="A37" t="s">
        <v>117</v>
      </c>
      <c r="B37" s="11">
        <v>1620</v>
      </c>
      <c r="C37" s="11">
        <v>2690</v>
      </c>
      <c r="D37" s="11">
        <f t="shared" si="0"/>
        <v>1070</v>
      </c>
      <c r="E37" s="12">
        <v>0.4</v>
      </c>
      <c r="F37" s="12" t="str">
        <f t="shared" si="1"/>
        <v>HIGH DISCOUNT</v>
      </c>
      <c r="G37" s="10">
        <v>1</v>
      </c>
      <c r="H37" s="13">
        <v>5</v>
      </c>
      <c r="I37" s="10" t="str">
        <f t="shared" si="2"/>
        <v>EXCELLENT</v>
      </c>
      <c r="J37" s="10" t="str">
        <f t="shared" si="3"/>
        <v>MEDIUM PRICE</v>
      </c>
    </row>
    <row r="38" spans="1:10" x14ac:dyDescent="0.35">
      <c r="A38" t="s">
        <v>120</v>
      </c>
      <c r="B38" s="11">
        <v>171</v>
      </c>
      <c r="C38" s="11">
        <v>360</v>
      </c>
      <c r="D38" s="11">
        <f t="shared" si="0"/>
        <v>189</v>
      </c>
      <c r="E38" s="12">
        <v>0.53</v>
      </c>
      <c r="F38" s="12" t="str">
        <f t="shared" si="1"/>
        <v>HIGH DISCOUNT</v>
      </c>
      <c r="G38" s="10">
        <v>2</v>
      </c>
      <c r="H38" s="13">
        <v>5</v>
      </c>
      <c r="I38" s="10" t="str">
        <f t="shared" si="2"/>
        <v>EXCELLENT</v>
      </c>
      <c r="J38" s="10" t="str">
        <f t="shared" si="3"/>
        <v>LOW PRICE</v>
      </c>
    </row>
    <row r="39" spans="1:10" x14ac:dyDescent="0.35">
      <c r="A39" t="s">
        <v>122</v>
      </c>
      <c r="B39" s="11">
        <v>389</v>
      </c>
      <c r="C39" s="11">
        <v>656</v>
      </c>
      <c r="D39" s="11">
        <f t="shared" si="0"/>
        <v>267</v>
      </c>
      <c r="E39" s="12">
        <v>0.41</v>
      </c>
      <c r="F39" s="12" t="str">
        <f t="shared" si="1"/>
        <v>HIGH DISCOUNT</v>
      </c>
      <c r="G39" s="10">
        <v>36</v>
      </c>
      <c r="H39" s="13">
        <v>4.3</v>
      </c>
      <c r="I39" s="10" t="str">
        <f t="shared" si="2"/>
        <v>AVERAGE</v>
      </c>
      <c r="J39" s="10" t="str">
        <f t="shared" si="3"/>
        <v>LOW PRICE</v>
      </c>
    </row>
    <row r="40" spans="1:10" x14ac:dyDescent="0.35">
      <c r="A40" t="s">
        <v>334</v>
      </c>
      <c r="B40" s="11">
        <v>1620</v>
      </c>
      <c r="C40" s="11">
        <v>2200</v>
      </c>
      <c r="D40" s="11">
        <f t="shared" si="0"/>
        <v>580</v>
      </c>
      <c r="E40" s="12">
        <v>0.26</v>
      </c>
      <c r="F40" s="12" t="str">
        <f t="shared" si="1"/>
        <v>MEDIUM DISCOUNT</v>
      </c>
      <c r="G40" s="10">
        <v>2</v>
      </c>
      <c r="H40" s="13">
        <v>4.5</v>
      </c>
      <c r="I40" s="10" t="str">
        <f t="shared" si="2"/>
        <v>EXCELLENT</v>
      </c>
      <c r="J40" s="10" t="str">
        <f t="shared" si="3"/>
        <v>MEDIUM PRICE</v>
      </c>
    </row>
    <row r="41" spans="1:10" x14ac:dyDescent="0.35">
      <c r="A41" t="s">
        <v>333</v>
      </c>
      <c r="B41" s="11">
        <v>1980</v>
      </c>
      <c r="C41" s="11">
        <v>3200</v>
      </c>
      <c r="D41" s="11">
        <f t="shared" si="0"/>
        <v>1220</v>
      </c>
      <c r="E41" s="12">
        <v>0.38</v>
      </c>
      <c r="F41" s="12" t="str">
        <f t="shared" si="1"/>
        <v>MEDIUM DISCOUNT</v>
      </c>
      <c r="G41" s="10"/>
      <c r="H41" s="13"/>
      <c r="I41" s="10" t="str">
        <f t="shared" si="2"/>
        <v>NOT PROVIDED</v>
      </c>
      <c r="J41" s="10" t="str">
        <f t="shared" si="3"/>
        <v>MEDIUM PRICE</v>
      </c>
    </row>
    <row r="42" spans="1:10" x14ac:dyDescent="0.35">
      <c r="A42" t="s">
        <v>128</v>
      </c>
      <c r="B42" s="11">
        <v>2750</v>
      </c>
      <c r="C42" s="11">
        <v>4471</v>
      </c>
      <c r="D42" s="11">
        <f t="shared" si="0"/>
        <v>1721</v>
      </c>
      <c r="E42" s="12">
        <v>0.38</v>
      </c>
      <c r="F42" s="12" t="str">
        <f t="shared" si="1"/>
        <v>MEDIUM DISCOUNT</v>
      </c>
      <c r="G42" s="10"/>
      <c r="H42" s="13"/>
      <c r="I42" s="10" t="str">
        <f t="shared" si="2"/>
        <v>NOT PROVIDED</v>
      </c>
      <c r="J42" s="10" t="str">
        <f t="shared" si="3"/>
        <v>HIGH PRICE</v>
      </c>
    </row>
    <row r="43" spans="1:10" x14ac:dyDescent="0.35">
      <c r="A43" t="s">
        <v>131</v>
      </c>
      <c r="B43" s="11">
        <v>475</v>
      </c>
      <c r="C43" s="11">
        <v>931</v>
      </c>
      <c r="D43" s="11">
        <f t="shared" si="0"/>
        <v>456</v>
      </c>
      <c r="E43" s="12">
        <v>0.49</v>
      </c>
      <c r="F43" s="12" t="str">
        <f t="shared" si="1"/>
        <v>HIGH DISCOUNT</v>
      </c>
      <c r="G43" s="10"/>
      <c r="H43" s="13"/>
      <c r="I43" s="10" t="str">
        <f t="shared" si="2"/>
        <v>NOT PROVIDED</v>
      </c>
      <c r="J43" s="10" t="str">
        <f t="shared" si="3"/>
        <v>LOW PRICE</v>
      </c>
    </row>
    <row r="44" spans="1:10" x14ac:dyDescent="0.35">
      <c r="A44" t="s">
        <v>134</v>
      </c>
      <c r="B44" s="11">
        <v>238</v>
      </c>
      <c r="C44" s="11">
        <v>476</v>
      </c>
      <c r="D44" s="11">
        <f t="shared" si="0"/>
        <v>238</v>
      </c>
      <c r="E44" s="12">
        <v>0.5</v>
      </c>
      <c r="F44" s="12" t="str">
        <f t="shared" si="1"/>
        <v>HIGH DISCOUNT</v>
      </c>
      <c r="G44" s="10"/>
      <c r="H44" s="13"/>
      <c r="I44" s="10" t="str">
        <f t="shared" si="2"/>
        <v>NOT PROVIDED</v>
      </c>
      <c r="J44" s="10" t="str">
        <f t="shared" si="3"/>
        <v>LOW PRICE</v>
      </c>
    </row>
    <row r="45" spans="1:10" x14ac:dyDescent="0.35">
      <c r="A45" t="s">
        <v>137</v>
      </c>
      <c r="B45" s="11">
        <v>610</v>
      </c>
      <c r="C45" s="11">
        <v>1060</v>
      </c>
      <c r="D45" s="11">
        <f t="shared" si="0"/>
        <v>450</v>
      </c>
      <c r="E45" s="12">
        <v>0.42</v>
      </c>
      <c r="F45" s="12" t="str">
        <f t="shared" si="1"/>
        <v>HIGH DISCOUNT</v>
      </c>
      <c r="G45" s="10"/>
      <c r="H45" s="13"/>
      <c r="I45" s="10" t="str">
        <f t="shared" si="2"/>
        <v>NOT PROVIDED</v>
      </c>
      <c r="J45" s="10" t="str">
        <f t="shared" si="3"/>
        <v>LOW PRICE</v>
      </c>
    </row>
    <row r="46" spans="1:10" x14ac:dyDescent="0.35">
      <c r="A46" t="s">
        <v>140</v>
      </c>
      <c r="B46" s="11">
        <v>2132</v>
      </c>
      <c r="C46" s="11">
        <v>2169</v>
      </c>
      <c r="D46" s="11">
        <f t="shared" si="0"/>
        <v>37</v>
      </c>
      <c r="E46" s="12">
        <v>0.02</v>
      </c>
      <c r="F46" s="12" t="str">
        <f t="shared" si="1"/>
        <v>LOW DISCOUNT</v>
      </c>
      <c r="G46" s="10"/>
      <c r="H46" s="13"/>
      <c r="I46" s="10" t="str">
        <f t="shared" si="2"/>
        <v>NOT PROVIDED</v>
      </c>
      <c r="J46" s="10" t="str">
        <f t="shared" si="3"/>
        <v>HIGH PRICE</v>
      </c>
    </row>
    <row r="47" spans="1:10" x14ac:dyDescent="0.35">
      <c r="A47" t="s">
        <v>143</v>
      </c>
      <c r="B47" s="11">
        <v>999</v>
      </c>
      <c r="C47" s="11">
        <v>2000</v>
      </c>
      <c r="D47" s="11">
        <f t="shared" si="0"/>
        <v>1001</v>
      </c>
      <c r="E47" s="12">
        <v>0.5</v>
      </c>
      <c r="F47" s="12" t="str">
        <f t="shared" si="1"/>
        <v>HIGH DISCOUNT</v>
      </c>
      <c r="G47" s="10"/>
      <c r="H47" s="13"/>
      <c r="I47" s="10" t="str">
        <f t="shared" si="2"/>
        <v>NOT PROVIDED</v>
      </c>
      <c r="J47" s="10" t="str">
        <f t="shared" si="3"/>
        <v>LOW PRICE</v>
      </c>
    </row>
    <row r="48" spans="1:10" x14ac:dyDescent="0.35">
      <c r="A48" t="s">
        <v>145</v>
      </c>
      <c r="B48" s="11">
        <v>1190</v>
      </c>
      <c r="C48" s="11">
        <v>1785</v>
      </c>
      <c r="D48" s="11">
        <f t="shared" si="0"/>
        <v>595</v>
      </c>
      <c r="E48" s="12">
        <v>0.33</v>
      </c>
      <c r="F48" s="12" t="str">
        <f t="shared" si="1"/>
        <v>MEDIUM DISCOUNT</v>
      </c>
      <c r="G48" s="10"/>
      <c r="H48" s="13"/>
      <c r="I48" s="10" t="str">
        <f t="shared" si="2"/>
        <v>NOT PROVIDED</v>
      </c>
      <c r="J48" s="10" t="str">
        <f t="shared" si="3"/>
        <v>MEDIUM PRICE</v>
      </c>
    </row>
    <row r="49" spans="1:10" x14ac:dyDescent="0.35">
      <c r="A49" t="s">
        <v>148</v>
      </c>
      <c r="B49" s="11">
        <v>671</v>
      </c>
      <c r="C49" s="11">
        <v>1316</v>
      </c>
      <c r="D49" s="11">
        <f t="shared" si="0"/>
        <v>645</v>
      </c>
      <c r="E49" s="12">
        <v>0.49</v>
      </c>
      <c r="F49" s="12" t="str">
        <f t="shared" si="1"/>
        <v>HIGH DISCOUNT</v>
      </c>
      <c r="G49" s="10"/>
      <c r="H49" s="13"/>
      <c r="I49" s="10" t="str">
        <f t="shared" si="2"/>
        <v>NOT PROVIDED</v>
      </c>
      <c r="J49" s="10" t="str">
        <f t="shared" si="3"/>
        <v>LOW PRICE</v>
      </c>
    </row>
    <row r="50" spans="1:10" x14ac:dyDescent="0.35">
      <c r="A50" t="s">
        <v>151</v>
      </c>
      <c r="B50" s="11">
        <v>1200</v>
      </c>
      <c r="C50" s="11">
        <v>1950</v>
      </c>
      <c r="D50" s="11">
        <f t="shared" si="0"/>
        <v>750</v>
      </c>
      <c r="E50" s="12">
        <v>0.38</v>
      </c>
      <c r="F50" s="12" t="str">
        <f t="shared" si="1"/>
        <v>MEDIUM DISCOUNT</v>
      </c>
      <c r="G50" s="10"/>
      <c r="H50" s="13"/>
      <c r="I50" s="10" t="str">
        <f t="shared" si="2"/>
        <v>NOT PROVIDED</v>
      </c>
      <c r="J50" s="10" t="str">
        <f t="shared" si="3"/>
        <v>MEDIUM PRICE</v>
      </c>
    </row>
    <row r="51" spans="1:10" x14ac:dyDescent="0.35">
      <c r="A51" t="s">
        <v>154</v>
      </c>
      <c r="B51" s="11">
        <v>199</v>
      </c>
      <c r="C51" s="11">
        <v>504</v>
      </c>
      <c r="D51" s="11">
        <f t="shared" si="0"/>
        <v>305</v>
      </c>
      <c r="E51" s="12">
        <v>0.61</v>
      </c>
      <c r="F51" s="12" t="str">
        <f t="shared" si="1"/>
        <v>HIGH DISCOUNT</v>
      </c>
      <c r="G51" s="10"/>
      <c r="H51" s="13"/>
      <c r="I51" s="10" t="str">
        <f t="shared" si="2"/>
        <v>NOT PROVIDED</v>
      </c>
      <c r="J51" s="10" t="str">
        <f t="shared" si="3"/>
        <v>LOW PRICE</v>
      </c>
    </row>
    <row r="52" spans="1:10" x14ac:dyDescent="0.35">
      <c r="A52" t="s">
        <v>157</v>
      </c>
      <c r="B52" s="11">
        <v>299</v>
      </c>
      <c r="C52" s="11">
        <v>600</v>
      </c>
      <c r="D52" s="11">
        <f t="shared" si="0"/>
        <v>301</v>
      </c>
      <c r="E52" s="12">
        <v>0.5</v>
      </c>
      <c r="F52" s="12" t="str">
        <f t="shared" si="1"/>
        <v>HIGH DISCOUNT</v>
      </c>
      <c r="G52" s="10"/>
      <c r="H52" s="13"/>
      <c r="I52" s="10" t="str">
        <f t="shared" si="2"/>
        <v>NOT PROVIDED</v>
      </c>
      <c r="J52" s="10" t="str">
        <f t="shared" si="3"/>
        <v>LOW PRICE</v>
      </c>
    </row>
    <row r="53" spans="1:10" x14ac:dyDescent="0.35">
      <c r="A53" t="s">
        <v>160</v>
      </c>
      <c r="B53" s="11">
        <v>1660</v>
      </c>
      <c r="C53" s="11">
        <v>1699</v>
      </c>
      <c r="D53" s="11">
        <f t="shared" si="0"/>
        <v>39</v>
      </c>
      <c r="E53" s="12">
        <v>0.02</v>
      </c>
      <c r="F53" s="12" t="str">
        <f t="shared" si="1"/>
        <v>LOW DISCOUNT</v>
      </c>
      <c r="G53" s="10"/>
      <c r="H53" s="13"/>
      <c r="I53" s="10" t="str">
        <f t="shared" si="2"/>
        <v>NOT PROVIDED</v>
      </c>
      <c r="J53" s="10" t="str">
        <f t="shared" si="3"/>
        <v>MEDIUM PRICE</v>
      </c>
    </row>
    <row r="54" spans="1:10" x14ac:dyDescent="0.35">
      <c r="A54" t="s">
        <v>163</v>
      </c>
      <c r="B54" s="11">
        <v>299</v>
      </c>
      <c r="C54" s="11">
        <v>384</v>
      </c>
      <c r="D54" s="11">
        <f t="shared" si="0"/>
        <v>85</v>
      </c>
      <c r="E54" s="12">
        <v>0.22</v>
      </c>
      <c r="F54" s="12" t="str">
        <f t="shared" si="1"/>
        <v>MEDIUM DISCOUNT</v>
      </c>
      <c r="G54" s="10"/>
      <c r="H54" s="13"/>
      <c r="I54" s="10" t="str">
        <f t="shared" si="2"/>
        <v>NOT PROVIDED</v>
      </c>
      <c r="J54" s="10" t="str">
        <f t="shared" si="3"/>
        <v>LOW PRICE</v>
      </c>
    </row>
    <row r="55" spans="1:10" x14ac:dyDescent="0.35">
      <c r="A55" t="s">
        <v>165</v>
      </c>
      <c r="B55" s="11">
        <v>1459</v>
      </c>
      <c r="C55" s="11">
        <v>1499</v>
      </c>
      <c r="D55" s="11">
        <f t="shared" si="0"/>
        <v>40</v>
      </c>
      <c r="E55" s="12">
        <v>0.03</v>
      </c>
      <c r="F55" s="12" t="str">
        <f t="shared" si="1"/>
        <v>LOW DISCOUNT</v>
      </c>
      <c r="G55" s="10"/>
      <c r="H55" s="13"/>
      <c r="I55" s="10" t="str">
        <f t="shared" si="2"/>
        <v>NOT PROVIDED</v>
      </c>
      <c r="J55" s="10" t="str">
        <f t="shared" si="3"/>
        <v>MEDIUM PRICE</v>
      </c>
    </row>
    <row r="56" spans="1:10" x14ac:dyDescent="0.35">
      <c r="A56" t="s">
        <v>168</v>
      </c>
      <c r="B56" s="11">
        <v>799</v>
      </c>
      <c r="C56" s="11">
        <v>1343</v>
      </c>
      <c r="D56" s="11">
        <f t="shared" si="0"/>
        <v>544</v>
      </c>
      <c r="E56" s="12">
        <v>0.41</v>
      </c>
      <c r="F56" s="12" t="str">
        <f t="shared" si="1"/>
        <v>HIGH DISCOUNT</v>
      </c>
      <c r="G56" s="10"/>
      <c r="H56" s="13"/>
      <c r="I56" s="10" t="str">
        <f t="shared" si="2"/>
        <v>NOT PROVIDED</v>
      </c>
      <c r="J56" s="10" t="str">
        <f t="shared" si="3"/>
        <v>LOW PRICE</v>
      </c>
    </row>
    <row r="57" spans="1:10" x14ac:dyDescent="0.35">
      <c r="A57" t="s">
        <v>170</v>
      </c>
      <c r="B57" s="11">
        <v>499</v>
      </c>
      <c r="C57" s="11">
        <v>900</v>
      </c>
      <c r="D57" s="11">
        <f t="shared" si="0"/>
        <v>401</v>
      </c>
      <c r="E57" s="12">
        <v>0.45</v>
      </c>
      <c r="F57" s="12" t="str">
        <f t="shared" si="1"/>
        <v>HIGH DISCOUNT</v>
      </c>
      <c r="G57" s="10"/>
      <c r="H57" s="13"/>
      <c r="I57" s="10" t="str">
        <f t="shared" si="2"/>
        <v>NOT PROVIDED</v>
      </c>
      <c r="J57" s="10" t="str">
        <f t="shared" si="3"/>
        <v>LOW PRICE</v>
      </c>
    </row>
    <row r="58" spans="1:10" x14ac:dyDescent="0.35">
      <c r="A58" t="s">
        <v>173</v>
      </c>
      <c r="B58" s="11">
        <v>699</v>
      </c>
      <c r="C58" s="11">
        <v>1343</v>
      </c>
      <c r="D58" s="11">
        <f t="shared" si="0"/>
        <v>644</v>
      </c>
      <c r="E58" s="12">
        <v>0.48</v>
      </c>
      <c r="F58" s="12" t="str">
        <f t="shared" si="1"/>
        <v>HIGH DISCOUNT</v>
      </c>
      <c r="G58" s="10"/>
      <c r="H58" s="13"/>
      <c r="I58" s="10" t="str">
        <f t="shared" si="2"/>
        <v>NOT PROVIDED</v>
      </c>
      <c r="J58" s="10" t="str">
        <f t="shared" si="3"/>
        <v>LOW PRICE</v>
      </c>
    </row>
    <row r="59" spans="1:10" x14ac:dyDescent="0.35">
      <c r="A59" t="s">
        <v>175</v>
      </c>
      <c r="B59" s="11">
        <v>799</v>
      </c>
      <c r="C59" s="11">
        <v>1567</v>
      </c>
      <c r="D59" s="11">
        <f t="shared" si="0"/>
        <v>768</v>
      </c>
      <c r="E59" s="12">
        <v>0.49</v>
      </c>
      <c r="F59" s="12" t="str">
        <f t="shared" si="1"/>
        <v>HIGH DISCOUNT</v>
      </c>
      <c r="G59" s="10"/>
      <c r="H59" s="13"/>
      <c r="I59" s="10" t="str">
        <f t="shared" si="2"/>
        <v>NOT PROVIDED</v>
      </c>
      <c r="J59" s="10" t="str">
        <f t="shared" si="3"/>
        <v>LOW PRICE</v>
      </c>
    </row>
    <row r="60" spans="1:10" x14ac:dyDescent="0.35">
      <c r="A60" t="s">
        <v>177</v>
      </c>
      <c r="B60" s="11">
        <v>2799</v>
      </c>
      <c r="C60" s="11">
        <v>3810</v>
      </c>
      <c r="D60" s="11">
        <f t="shared" si="0"/>
        <v>1011</v>
      </c>
      <c r="E60" s="12">
        <v>0.27</v>
      </c>
      <c r="F60" s="12" t="str">
        <f t="shared" si="1"/>
        <v>MEDIUM DISCOUNT</v>
      </c>
      <c r="G60" s="10"/>
      <c r="H60" s="13"/>
      <c r="I60" s="10" t="str">
        <f t="shared" si="2"/>
        <v>NOT PROVIDED</v>
      </c>
      <c r="J60" s="10" t="str">
        <f t="shared" si="3"/>
        <v>HIGH PRICE</v>
      </c>
    </row>
    <row r="61" spans="1:10" x14ac:dyDescent="0.35">
      <c r="A61" t="s">
        <v>170</v>
      </c>
      <c r="B61" s="11">
        <v>399</v>
      </c>
      <c r="C61" s="11">
        <v>896</v>
      </c>
      <c r="D61" s="11">
        <f t="shared" si="0"/>
        <v>497</v>
      </c>
      <c r="E61" s="12">
        <v>0.55000000000000004</v>
      </c>
      <c r="F61" s="12" t="str">
        <f t="shared" si="1"/>
        <v>HIGH DISCOUNT</v>
      </c>
      <c r="G61" s="10"/>
      <c r="H61" s="13"/>
      <c r="I61" s="10" t="str">
        <f t="shared" si="2"/>
        <v>NOT PROVIDED</v>
      </c>
      <c r="J61" s="10" t="str">
        <f t="shared" si="3"/>
        <v>LOW PRICE</v>
      </c>
    </row>
    <row r="62" spans="1:10" x14ac:dyDescent="0.35">
      <c r="A62" t="s">
        <v>182</v>
      </c>
      <c r="B62" s="11">
        <v>2170</v>
      </c>
      <c r="C62" s="11">
        <v>2500</v>
      </c>
      <c r="D62" s="11">
        <f t="shared" si="0"/>
        <v>330</v>
      </c>
      <c r="E62" s="12">
        <v>0.13</v>
      </c>
      <c r="F62" s="12" t="str">
        <f t="shared" si="1"/>
        <v>LOW DISCOUNT</v>
      </c>
      <c r="G62" s="10">
        <v>6</v>
      </c>
      <c r="H62" s="13">
        <v>2.5</v>
      </c>
      <c r="I62" s="10" t="str">
        <f t="shared" si="2"/>
        <v>POOR</v>
      </c>
      <c r="J62" s="10" t="str">
        <f t="shared" si="3"/>
        <v>HIGH PRICE</v>
      </c>
    </row>
    <row r="63" spans="1:10" x14ac:dyDescent="0.35">
      <c r="A63" t="s">
        <v>186</v>
      </c>
      <c r="B63" s="11">
        <v>458</v>
      </c>
      <c r="C63" s="11">
        <v>986</v>
      </c>
      <c r="D63" s="11">
        <f t="shared" si="0"/>
        <v>528</v>
      </c>
      <c r="E63" s="12">
        <v>0.54</v>
      </c>
      <c r="F63" s="12" t="str">
        <f t="shared" si="1"/>
        <v>HIGH DISCOUNT</v>
      </c>
      <c r="G63" s="10">
        <v>10</v>
      </c>
      <c r="H63" s="13">
        <v>3</v>
      </c>
      <c r="I63" s="10" t="str">
        <f t="shared" si="2"/>
        <v>AVERAGE</v>
      </c>
      <c r="J63" s="10" t="str">
        <f t="shared" si="3"/>
        <v>LOW PRICE</v>
      </c>
    </row>
    <row r="64" spans="1:10" x14ac:dyDescent="0.35">
      <c r="A64" t="s">
        <v>190</v>
      </c>
      <c r="B64" s="11">
        <v>2115</v>
      </c>
      <c r="C64" s="11">
        <v>4700</v>
      </c>
      <c r="D64" s="11">
        <f t="shared" si="0"/>
        <v>2585</v>
      </c>
      <c r="E64" s="12">
        <v>0.55000000000000004</v>
      </c>
      <c r="F64" s="12" t="str">
        <f t="shared" si="1"/>
        <v>HIGH DISCOUNT</v>
      </c>
      <c r="G64" s="10">
        <v>13</v>
      </c>
      <c r="H64" s="13">
        <v>2.1</v>
      </c>
      <c r="I64" s="10" t="str">
        <f t="shared" si="2"/>
        <v>POOR</v>
      </c>
      <c r="J64" s="10" t="str">
        <f t="shared" si="3"/>
        <v>HIGH PRICE</v>
      </c>
    </row>
    <row r="65" spans="1:10" x14ac:dyDescent="0.35">
      <c r="A65" t="s">
        <v>194</v>
      </c>
      <c r="B65" s="11">
        <v>445</v>
      </c>
      <c r="C65" s="11">
        <v>873</v>
      </c>
      <c r="D65" s="11">
        <f t="shared" si="0"/>
        <v>428</v>
      </c>
      <c r="E65" s="12">
        <v>0.49</v>
      </c>
      <c r="F65" s="12" t="str">
        <f t="shared" si="1"/>
        <v>HIGH DISCOUNT</v>
      </c>
      <c r="G65" s="10">
        <v>69</v>
      </c>
      <c r="H65" s="13">
        <v>2.8</v>
      </c>
      <c r="I65" s="10" t="str">
        <f t="shared" si="2"/>
        <v>POOR</v>
      </c>
      <c r="J65" s="10" t="str">
        <f t="shared" si="3"/>
        <v>LOW PRICE</v>
      </c>
    </row>
    <row r="66" spans="1:10" x14ac:dyDescent="0.35">
      <c r="A66" t="s">
        <v>198</v>
      </c>
      <c r="B66" s="11">
        <v>325</v>
      </c>
      <c r="C66" s="11">
        <v>680</v>
      </c>
      <c r="D66" s="11">
        <f t="shared" si="0"/>
        <v>355</v>
      </c>
      <c r="E66" s="12">
        <v>0.52</v>
      </c>
      <c r="F66" s="12" t="str">
        <f t="shared" si="1"/>
        <v>HIGH DISCOUNT</v>
      </c>
      <c r="G66" s="10">
        <v>15</v>
      </c>
      <c r="H66" s="13">
        <v>2.7</v>
      </c>
      <c r="I66" s="10" t="str">
        <f t="shared" si="2"/>
        <v>POOR</v>
      </c>
      <c r="J66" s="10" t="str">
        <f t="shared" si="3"/>
        <v>LOW PRICE</v>
      </c>
    </row>
    <row r="67" spans="1:10" x14ac:dyDescent="0.35">
      <c r="A67" t="s">
        <v>202</v>
      </c>
      <c r="B67" s="11">
        <v>1220</v>
      </c>
      <c r="C67" s="11">
        <v>1555</v>
      </c>
      <c r="D67" s="11">
        <f t="shared" si="0"/>
        <v>335</v>
      </c>
      <c r="E67" s="12">
        <v>0.22</v>
      </c>
      <c r="F67" s="12" t="str">
        <f t="shared" si="1"/>
        <v>MEDIUM DISCOUNT</v>
      </c>
      <c r="G67" s="10">
        <v>16</v>
      </c>
      <c r="H67" s="13">
        <v>2.9</v>
      </c>
      <c r="I67" s="10" t="str">
        <f t="shared" si="2"/>
        <v>POOR</v>
      </c>
      <c r="J67" s="10" t="str">
        <f t="shared" si="3"/>
        <v>MEDIUM PRICE</v>
      </c>
    </row>
    <row r="68" spans="1:10" x14ac:dyDescent="0.35">
      <c r="A68" t="s">
        <v>206</v>
      </c>
      <c r="B68" s="11">
        <v>990</v>
      </c>
      <c r="C68" s="11">
        <v>1814</v>
      </c>
      <c r="D68" s="11">
        <f t="shared" ref="D68:D114" si="4">C68-B68</f>
        <v>824</v>
      </c>
      <c r="E68" s="12">
        <v>0.45</v>
      </c>
      <c r="F68" s="12" t="str">
        <f t="shared" ref="F68:F114" si="5">IF(E68&lt;20%,"LOW DISCOUNT",IF(E68&lt;40%,"MEDIUM DISCOUNT","HIGH DISCOUNT"))</f>
        <v>HIGH DISCOUNT</v>
      </c>
      <c r="G68" s="10">
        <v>6</v>
      </c>
      <c r="H68" s="13">
        <v>2.2000000000000002</v>
      </c>
      <c r="I68" s="10" t="str">
        <f t="shared" ref="I68:I114" si="6">IF(ISBLANK(H68),"NOT PROVIDED",IF(H68&lt;3,"POOR",IF(H68&lt;4.5,"AVERAGE","EXCELLENT")))</f>
        <v>POOR</v>
      </c>
      <c r="J68" s="10" t="str">
        <f t="shared" ref="J68:J114" si="7">IF(B68&lt;1000,"LOW PRICE",IF(B68&lt;2000,"MEDIUM PRICE","HIGH PRICE"))</f>
        <v>LOW PRICE</v>
      </c>
    </row>
    <row r="69" spans="1:10" x14ac:dyDescent="0.35">
      <c r="A69" t="s">
        <v>209</v>
      </c>
      <c r="B69" s="11">
        <v>1000</v>
      </c>
      <c r="C69" s="11">
        <v>2000</v>
      </c>
      <c r="D69" s="11">
        <f t="shared" si="4"/>
        <v>1000</v>
      </c>
      <c r="E69" s="12">
        <v>0.5</v>
      </c>
      <c r="F69" s="12" t="str">
        <f t="shared" si="5"/>
        <v>HIGH DISCOUNT</v>
      </c>
      <c r="G69" s="10">
        <v>7</v>
      </c>
      <c r="H69" s="13">
        <v>2.2999999999999998</v>
      </c>
      <c r="I69" s="10" t="str">
        <f t="shared" si="6"/>
        <v>POOR</v>
      </c>
      <c r="J69" s="10" t="str">
        <f t="shared" si="7"/>
        <v>MEDIUM PRICE</v>
      </c>
    </row>
    <row r="70" spans="1:10" x14ac:dyDescent="0.35">
      <c r="A70" t="s">
        <v>212</v>
      </c>
      <c r="B70" s="11">
        <v>3750</v>
      </c>
      <c r="C70" s="11">
        <v>6143</v>
      </c>
      <c r="D70" s="11">
        <f t="shared" si="4"/>
        <v>2393</v>
      </c>
      <c r="E70" s="12">
        <v>0.39</v>
      </c>
      <c r="F70" s="12" t="str">
        <f t="shared" si="5"/>
        <v>MEDIUM DISCOUNT</v>
      </c>
      <c r="G70" s="10">
        <v>5</v>
      </c>
      <c r="H70" s="13">
        <v>3</v>
      </c>
      <c r="I70" s="10" t="str">
        <f t="shared" si="6"/>
        <v>AVERAGE</v>
      </c>
      <c r="J70" s="10" t="str">
        <f t="shared" si="7"/>
        <v>HIGH PRICE</v>
      </c>
    </row>
    <row r="71" spans="1:10" x14ac:dyDescent="0.35">
      <c r="A71" t="s">
        <v>215</v>
      </c>
      <c r="B71" s="11">
        <v>382</v>
      </c>
      <c r="C71" s="11">
        <v>700</v>
      </c>
      <c r="D71" s="11">
        <f t="shared" si="4"/>
        <v>318</v>
      </c>
      <c r="E71" s="12">
        <v>0.45</v>
      </c>
      <c r="F71" s="12" t="str">
        <f t="shared" si="5"/>
        <v>HIGH DISCOUNT</v>
      </c>
      <c r="G71" s="10">
        <v>17</v>
      </c>
      <c r="H71" s="13">
        <v>2.6</v>
      </c>
      <c r="I71" s="10" t="str">
        <f t="shared" si="6"/>
        <v>POOR</v>
      </c>
      <c r="J71" s="10" t="str">
        <f t="shared" si="7"/>
        <v>LOW PRICE</v>
      </c>
    </row>
    <row r="72" spans="1:10" x14ac:dyDescent="0.35">
      <c r="A72" t="s">
        <v>218</v>
      </c>
      <c r="B72" s="11">
        <v>2300</v>
      </c>
      <c r="C72" s="11">
        <v>3240</v>
      </c>
      <c r="D72" s="11">
        <f t="shared" si="4"/>
        <v>940</v>
      </c>
      <c r="E72" s="12">
        <v>0.28999999999999998</v>
      </c>
      <c r="F72" s="12" t="str">
        <f t="shared" si="5"/>
        <v>MEDIUM DISCOUNT</v>
      </c>
      <c r="G72" s="10">
        <v>5</v>
      </c>
      <c r="H72" s="13">
        <v>3</v>
      </c>
      <c r="I72" s="10" t="str">
        <f t="shared" si="6"/>
        <v>AVERAGE</v>
      </c>
      <c r="J72" s="10" t="str">
        <f t="shared" si="7"/>
        <v>HIGH PRICE</v>
      </c>
    </row>
    <row r="73" spans="1:10" x14ac:dyDescent="0.35">
      <c r="A73" t="s">
        <v>221</v>
      </c>
      <c r="B73" s="11">
        <v>345</v>
      </c>
      <c r="C73" s="11">
        <v>602</v>
      </c>
      <c r="D73" s="11">
        <f t="shared" si="4"/>
        <v>257</v>
      </c>
      <c r="E73" s="12">
        <v>0.43</v>
      </c>
      <c r="F73" s="12" t="str">
        <f t="shared" si="5"/>
        <v>HIGH DISCOUNT</v>
      </c>
      <c r="G73" s="10">
        <v>6</v>
      </c>
      <c r="H73" s="13">
        <v>2.2999999999999998</v>
      </c>
      <c r="I73" s="10" t="str">
        <f t="shared" si="6"/>
        <v>POOR</v>
      </c>
      <c r="J73" s="10" t="str">
        <f t="shared" si="7"/>
        <v>LOW PRICE</v>
      </c>
    </row>
    <row r="74" spans="1:10" x14ac:dyDescent="0.35">
      <c r="A74" t="s">
        <v>224</v>
      </c>
      <c r="B74" s="11">
        <v>509</v>
      </c>
      <c r="C74" s="11">
        <v>899</v>
      </c>
      <c r="D74" s="11">
        <f t="shared" si="4"/>
        <v>390</v>
      </c>
      <c r="E74" s="12">
        <v>0.43</v>
      </c>
      <c r="F74" s="12" t="str">
        <f t="shared" si="5"/>
        <v>HIGH DISCOUNT</v>
      </c>
      <c r="G74" s="10">
        <v>5</v>
      </c>
      <c r="H74" s="13">
        <v>3</v>
      </c>
      <c r="I74" s="10" t="str">
        <f t="shared" si="6"/>
        <v>AVERAGE</v>
      </c>
      <c r="J74" s="10" t="str">
        <f t="shared" si="7"/>
        <v>LOW PRICE</v>
      </c>
    </row>
    <row r="75" spans="1:10" x14ac:dyDescent="0.35">
      <c r="A75" t="s">
        <v>227</v>
      </c>
      <c r="B75" s="11">
        <v>968</v>
      </c>
      <c r="C75" s="11">
        <v>1814</v>
      </c>
      <c r="D75" s="11">
        <f t="shared" si="4"/>
        <v>846</v>
      </c>
      <c r="E75" s="12">
        <v>0.47</v>
      </c>
      <c r="F75" s="12" t="str">
        <f t="shared" si="5"/>
        <v>HIGH DISCOUNT</v>
      </c>
      <c r="G75" s="10">
        <v>6</v>
      </c>
      <c r="H75" s="13">
        <v>2.2000000000000002</v>
      </c>
      <c r="I75" s="10" t="str">
        <f t="shared" si="6"/>
        <v>POOR</v>
      </c>
      <c r="J75" s="10" t="str">
        <f t="shared" si="7"/>
        <v>LOW PRICE</v>
      </c>
    </row>
    <row r="76" spans="1:10" x14ac:dyDescent="0.35">
      <c r="A76" t="s">
        <v>229</v>
      </c>
      <c r="B76" s="11">
        <v>1570</v>
      </c>
      <c r="C76" s="11">
        <v>2988</v>
      </c>
      <c r="D76" s="11">
        <f t="shared" si="4"/>
        <v>1418</v>
      </c>
      <c r="E76" s="12">
        <v>0.47</v>
      </c>
      <c r="F76" s="12" t="str">
        <f t="shared" si="5"/>
        <v>HIGH DISCOUNT</v>
      </c>
      <c r="G76" s="10">
        <v>7</v>
      </c>
      <c r="H76" s="13">
        <v>2.1</v>
      </c>
      <c r="I76" s="10" t="str">
        <f t="shared" si="6"/>
        <v>POOR</v>
      </c>
      <c r="J76" s="10" t="str">
        <f t="shared" si="7"/>
        <v>MEDIUM PRICE</v>
      </c>
    </row>
    <row r="77" spans="1:10" x14ac:dyDescent="0.35">
      <c r="A77" t="s">
        <v>232</v>
      </c>
      <c r="B77" s="11">
        <v>790</v>
      </c>
      <c r="C77" s="11">
        <v>1485</v>
      </c>
      <c r="D77" s="11">
        <f t="shared" si="4"/>
        <v>695</v>
      </c>
      <c r="E77" s="12">
        <v>0.47</v>
      </c>
      <c r="F77" s="12" t="str">
        <f t="shared" si="5"/>
        <v>HIGH DISCOUNT</v>
      </c>
      <c r="G77" s="10"/>
      <c r="H77" s="13"/>
      <c r="I77" s="10" t="str">
        <f t="shared" si="6"/>
        <v>NOT PROVIDED</v>
      </c>
      <c r="J77" s="10" t="str">
        <f t="shared" si="7"/>
        <v>LOW PRICE</v>
      </c>
    </row>
    <row r="78" spans="1:10" x14ac:dyDescent="0.35">
      <c r="A78" t="s">
        <v>235</v>
      </c>
      <c r="B78" s="11">
        <v>690</v>
      </c>
      <c r="C78" s="11">
        <v>1200</v>
      </c>
      <c r="D78" s="11">
        <f t="shared" si="4"/>
        <v>510</v>
      </c>
      <c r="E78" s="12">
        <v>0.43</v>
      </c>
      <c r="F78" s="12" t="str">
        <f t="shared" si="5"/>
        <v>HIGH DISCOUNT</v>
      </c>
      <c r="G78" s="10"/>
      <c r="H78" s="13"/>
      <c r="I78" s="10" t="str">
        <f t="shared" si="6"/>
        <v>NOT PROVIDED</v>
      </c>
      <c r="J78" s="10" t="str">
        <f t="shared" si="7"/>
        <v>LOW PRICE</v>
      </c>
    </row>
    <row r="79" spans="1:10" x14ac:dyDescent="0.35">
      <c r="A79" t="s">
        <v>237</v>
      </c>
      <c r="B79" s="11">
        <v>1732</v>
      </c>
      <c r="C79" s="11">
        <v>1799</v>
      </c>
      <c r="D79" s="11">
        <f t="shared" si="4"/>
        <v>67</v>
      </c>
      <c r="E79" s="12">
        <v>0.04</v>
      </c>
      <c r="F79" s="12" t="str">
        <f t="shared" si="5"/>
        <v>LOW DISCOUNT</v>
      </c>
      <c r="G79" s="10"/>
      <c r="H79" s="13"/>
      <c r="I79" s="10" t="str">
        <f t="shared" si="6"/>
        <v>NOT PROVIDED</v>
      </c>
      <c r="J79" s="10" t="str">
        <f t="shared" si="7"/>
        <v>MEDIUM PRICE</v>
      </c>
    </row>
    <row r="80" spans="1:10" x14ac:dyDescent="0.35">
      <c r="A80" t="s">
        <v>240</v>
      </c>
      <c r="B80" s="11">
        <v>230</v>
      </c>
      <c r="C80" s="11">
        <v>450</v>
      </c>
      <c r="D80" s="11">
        <f t="shared" si="4"/>
        <v>220</v>
      </c>
      <c r="E80" s="12">
        <v>0.49</v>
      </c>
      <c r="F80" s="12" t="str">
        <f t="shared" si="5"/>
        <v>HIGH DISCOUNT</v>
      </c>
      <c r="G80" s="10"/>
      <c r="H80" s="13"/>
      <c r="I80" s="10" t="str">
        <f t="shared" si="6"/>
        <v>NOT PROVIDED</v>
      </c>
      <c r="J80" s="10" t="str">
        <f t="shared" si="7"/>
        <v>LOW PRICE</v>
      </c>
    </row>
    <row r="81" spans="1:10" x14ac:dyDescent="0.35">
      <c r="A81" t="s">
        <v>243</v>
      </c>
      <c r="B81" s="11">
        <v>1189</v>
      </c>
      <c r="C81" s="11">
        <v>2199</v>
      </c>
      <c r="D81" s="11">
        <f t="shared" si="4"/>
        <v>1010</v>
      </c>
      <c r="E81" s="12">
        <v>0.46</v>
      </c>
      <c r="F81" s="12" t="str">
        <f t="shared" si="5"/>
        <v>HIGH DISCOUNT</v>
      </c>
      <c r="G81" s="10">
        <v>1</v>
      </c>
      <c r="H81" s="13">
        <v>3</v>
      </c>
      <c r="I81" s="10" t="str">
        <f t="shared" si="6"/>
        <v>AVERAGE</v>
      </c>
      <c r="J81" s="10" t="str">
        <f t="shared" si="7"/>
        <v>MEDIUM PRICE</v>
      </c>
    </row>
    <row r="82" spans="1:10" x14ac:dyDescent="0.35">
      <c r="A82" t="s">
        <v>245</v>
      </c>
      <c r="B82" s="11">
        <v>979</v>
      </c>
      <c r="C82" s="11">
        <v>1920</v>
      </c>
      <c r="D82" s="11">
        <f t="shared" si="4"/>
        <v>941</v>
      </c>
      <c r="E82" s="12">
        <v>0.49</v>
      </c>
      <c r="F82" s="12" t="str">
        <f t="shared" si="5"/>
        <v>HIGH DISCOUNT</v>
      </c>
      <c r="G82" s="10">
        <v>1</v>
      </c>
      <c r="H82" s="13">
        <v>5</v>
      </c>
      <c r="I82" s="10" t="str">
        <f t="shared" si="6"/>
        <v>EXCELLENT</v>
      </c>
      <c r="J82" s="10" t="str">
        <f t="shared" si="7"/>
        <v>LOW PRICE</v>
      </c>
    </row>
    <row r="83" spans="1:10" x14ac:dyDescent="0.35">
      <c r="A83" t="s">
        <v>248</v>
      </c>
      <c r="B83" s="11">
        <v>1460</v>
      </c>
      <c r="C83" s="11">
        <v>2290</v>
      </c>
      <c r="D83" s="11">
        <f t="shared" si="4"/>
        <v>830</v>
      </c>
      <c r="E83" s="12">
        <v>0.36</v>
      </c>
      <c r="F83" s="12" t="str">
        <f t="shared" si="5"/>
        <v>MEDIUM DISCOUNT</v>
      </c>
      <c r="G83" s="10"/>
      <c r="H83" s="13"/>
      <c r="I83" s="10" t="str">
        <f t="shared" si="6"/>
        <v>NOT PROVIDED</v>
      </c>
      <c r="J83" s="10" t="str">
        <f t="shared" si="7"/>
        <v>MEDIUM PRICE</v>
      </c>
    </row>
    <row r="84" spans="1:10" x14ac:dyDescent="0.35">
      <c r="A84" t="s">
        <v>251</v>
      </c>
      <c r="B84" s="11">
        <v>1666</v>
      </c>
      <c r="C84" s="11">
        <v>1699</v>
      </c>
      <c r="D84" s="11">
        <f t="shared" si="4"/>
        <v>33</v>
      </c>
      <c r="E84" s="12">
        <v>0.02</v>
      </c>
      <c r="F84" s="12" t="str">
        <f t="shared" si="5"/>
        <v>LOW DISCOUNT</v>
      </c>
      <c r="G84" s="10"/>
      <c r="H84" s="13"/>
      <c r="I84" s="10" t="str">
        <f t="shared" si="6"/>
        <v>NOT PROVIDED</v>
      </c>
      <c r="J84" s="10" t="str">
        <f t="shared" si="7"/>
        <v>MEDIUM PRICE</v>
      </c>
    </row>
    <row r="85" spans="1:10" x14ac:dyDescent="0.35">
      <c r="A85" t="s">
        <v>253</v>
      </c>
      <c r="B85" s="11">
        <v>330</v>
      </c>
      <c r="C85" s="11">
        <v>647</v>
      </c>
      <c r="D85" s="11">
        <f t="shared" si="4"/>
        <v>317</v>
      </c>
      <c r="E85" s="12">
        <v>0.49</v>
      </c>
      <c r="F85" s="12" t="str">
        <f t="shared" si="5"/>
        <v>HIGH DISCOUNT</v>
      </c>
      <c r="G85" s="10">
        <v>1</v>
      </c>
      <c r="H85" s="13">
        <v>4</v>
      </c>
      <c r="I85" s="10" t="str">
        <f t="shared" si="6"/>
        <v>AVERAGE</v>
      </c>
      <c r="J85" s="10" t="str">
        <f t="shared" si="7"/>
        <v>LOW PRICE</v>
      </c>
    </row>
    <row r="86" spans="1:10" x14ac:dyDescent="0.35">
      <c r="A86" t="s">
        <v>154</v>
      </c>
      <c r="B86" s="11">
        <v>176</v>
      </c>
      <c r="C86" s="11">
        <v>345</v>
      </c>
      <c r="D86" s="11">
        <f t="shared" si="4"/>
        <v>169</v>
      </c>
      <c r="E86" s="12">
        <v>0.49</v>
      </c>
      <c r="F86" s="12" t="str">
        <f t="shared" si="5"/>
        <v>HIGH DISCOUNT</v>
      </c>
      <c r="G86" s="10"/>
      <c r="H86" s="13"/>
      <c r="I86" s="10" t="str">
        <f t="shared" si="6"/>
        <v>NOT PROVIDED</v>
      </c>
      <c r="J86" s="10" t="str">
        <f t="shared" si="7"/>
        <v>LOW PRICE</v>
      </c>
    </row>
    <row r="87" spans="1:10" x14ac:dyDescent="0.35">
      <c r="A87" t="s">
        <v>256</v>
      </c>
      <c r="B87" s="11">
        <v>1466</v>
      </c>
      <c r="C87" s="11">
        <v>1699</v>
      </c>
      <c r="D87" s="11">
        <f t="shared" si="4"/>
        <v>233</v>
      </c>
      <c r="E87" s="12">
        <v>0.14000000000000001</v>
      </c>
      <c r="F87" s="12" t="str">
        <f t="shared" si="5"/>
        <v>LOW DISCOUNT</v>
      </c>
      <c r="G87" s="10"/>
      <c r="H87" s="13"/>
      <c r="I87" s="10" t="str">
        <f t="shared" si="6"/>
        <v>NOT PROVIDED</v>
      </c>
      <c r="J87" s="10" t="str">
        <f t="shared" si="7"/>
        <v>MEDIUM PRICE</v>
      </c>
    </row>
    <row r="88" spans="1:10" x14ac:dyDescent="0.35">
      <c r="A88" t="s">
        <v>258</v>
      </c>
      <c r="B88" s="11">
        <v>274</v>
      </c>
      <c r="C88" s="11">
        <v>537</v>
      </c>
      <c r="D88" s="11">
        <f t="shared" si="4"/>
        <v>263</v>
      </c>
      <c r="E88" s="12">
        <v>0.49</v>
      </c>
      <c r="F88" s="12" t="str">
        <f t="shared" si="5"/>
        <v>HIGH DISCOUNT</v>
      </c>
      <c r="G88" s="10"/>
      <c r="H88" s="13"/>
      <c r="I88" s="10" t="str">
        <f t="shared" si="6"/>
        <v>NOT PROVIDED</v>
      </c>
      <c r="J88" s="10" t="str">
        <f t="shared" si="7"/>
        <v>LOW PRICE</v>
      </c>
    </row>
    <row r="89" spans="1:10" x14ac:dyDescent="0.35">
      <c r="A89" t="s">
        <v>261</v>
      </c>
      <c r="B89" s="11">
        <v>799</v>
      </c>
      <c r="C89" s="11">
        <v>900</v>
      </c>
      <c r="D89" s="11">
        <f t="shared" si="4"/>
        <v>101</v>
      </c>
      <c r="E89" s="12">
        <v>0.11</v>
      </c>
      <c r="F89" s="12" t="str">
        <f t="shared" si="5"/>
        <v>LOW DISCOUNT</v>
      </c>
      <c r="G89" s="10"/>
      <c r="H89" s="13"/>
      <c r="I89" s="10" t="str">
        <f t="shared" si="6"/>
        <v>NOT PROVIDED</v>
      </c>
      <c r="J89" s="10" t="str">
        <f t="shared" si="7"/>
        <v>LOW PRICE</v>
      </c>
    </row>
    <row r="90" spans="1:10" x14ac:dyDescent="0.35">
      <c r="A90" t="s">
        <v>175</v>
      </c>
      <c r="B90" s="11">
        <v>657</v>
      </c>
      <c r="C90" s="11">
        <v>1288</v>
      </c>
      <c r="D90" s="11">
        <f t="shared" si="4"/>
        <v>631</v>
      </c>
      <c r="E90" s="12">
        <v>0.49</v>
      </c>
      <c r="F90" s="12" t="str">
        <f t="shared" si="5"/>
        <v>HIGH DISCOUNT</v>
      </c>
      <c r="G90" s="10"/>
      <c r="H90" s="13"/>
      <c r="I90" s="10" t="str">
        <f t="shared" si="6"/>
        <v>NOT PROVIDED</v>
      </c>
      <c r="J90" s="10" t="str">
        <f t="shared" si="7"/>
        <v>LOW PRICE</v>
      </c>
    </row>
    <row r="91" spans="1:10" x14ac:dyDescent="0.35">
      <c r="A91" t="s">
        <v>264</v>
      </c>
      <c r="B91" s="11">
        <v>1468</v>
      </c>
      <c r="C91" s="11">
        <v>1699</v>
      </c>
      <c r="D91" s="11">
        <f t="shared" si="4"/>
        <v>231</v>
      </c>
      <c r="E91" s="12">
        <v>0.14000000000000001</v>
      </c>
      <c r="F91" s="12" t="str">
        <f t="shared" si="5"/>
        <v>LOW DISCOUNT</v>
      </c>
      <c r="G91" s="10"/>
      <c r="H91" s="13"/>
      <c r="I91" s="10" t="str">
        <f t="shared" si="6"/>
        <v>NOT PROVIDED</v>
      </c>
      <c r="J91" s="10" t="str">
        <f t="shared" si="7"/>
        <v>MEDIUM PRICE</v>
      </c>
    </row>
    <row r="92" spans="1:10" x14ac:dyDescent="0.35">
      <c r="A92" t="s">
        <v>266</v>
      </c>
      <c r="B92" s="11">
        <v>630</v>
      </c>
      <c r="C92" s="11">
        <v>1100</v>
      </c>
      <c r="D92" s="11">
        <f t="shared" si="4"/>
        <v>470</v>
      </c>
      <c r="E92" s="12">
        <v>0.43</v>
      </c>
      <c r="F92" s="12" t="str">
        <f t="shared" si="5"/>
        <v>HIGH DISCOUNT</v>
      </c>
      <c r="G92" s="10"/>
      <c r="H92" s="13"/>
      <c r="I92" s="10" t="str">
        <f t="shared" si="6"/>
        <v>NOT PROVIDED</v>
      </c>
      <c r="J92" s="10" t="str">
        <f t="shared" si="7"/>
        <v>LOW PRICE</v>
      </c>
    </row>
    <row r="93" spans="1:10" x14ac:dyDescent="0.35">
      <c r="A93" t="s">
        <v>269</v>
      </c>
      <c r="B93" s="11">
        <v>850</v>
      </c>
      <c r="C93" s="11">
        <v>1700</v>
      </c>
      <c r="D93" s="11">
        <f t="shared" si="4"/>
        <v>850</v>
      </c>
      <c r="E93" s="12">
        <v>0.5</v>
      </c>
      <c r="F93" s="12" t="str">
        <f t="shared" si="5"/>
        <v>HIGH DISCOUNT</v>
      </c>
      <c r="G93" s="10"/>
      <c r="H93" s="13"/>
      <c r="I93" s="10" t="str">
        <f t="shared" si="6"/>
        <v>NOT PROVIDED</v>
      </c>
      <c r="J93" s="10" t="str">
        <f t="shared" si="7"/>
        <v>LOW PRICE</v>
      </c>
    </row>
    <row r="94" spans="1:10" x14ac:dyDescent="0.35">
      <c r="A94" t="s">
        <v>272</v>
      </c>
      <c r="B94" s="11">
        <v>1300</v>
      </c>
      <c r="C94" s="11">
        <v>2500</v>
      </c>
      <c r="D94" s="11">
        <f t="shared" si="4"/>
        <v>1200</v>
      </c>
      <c r="E94" s="12">
        <v>0.48</v>
      </c>
      <c r="F94" s="12" t="str">
        <f t="shared" si="5"/>
        <v>HIGH DISCOUNT</v>
      </c>
      <c r="G94" s="10"/>
      <c r="H94" s="13"/>
      <c r="I94" s="10" t="str">
        <f t="shared" si="6"/>
        <v>NOT PROVIDED</v>
      </c>
      <c r="J94" s="10" t="str">
        <f t="shared" si="7"/>
        <v>MEDIUM PRICE</v>
      </c>
    </row>
    <row r="95" spans="1:10" x14ac:dyDescent="0.35">
      <c r="A95" t="s">
        <v>274</v>
      </c>
      <c r="B95" s="11">
        <v>105</v>
      </c>
      <c r="C95" s="11">
        <v>200</v>
      </c>
      <c r="D95" s="11">
        <f t="shared" si="4"/>
        <v>95</v>
      </c>
      <c r="E95" s="12">
        <v>0.48</v>
      </c>
      <c r="F95" s="12" t="str">
        <f t="shared" si="5"/>
        <v>HIGH DISCOUNT</v>
      </c>
      <c r="G95" s="10"/>
      <c r="H95" s="13"/>
      <c r="I95" s="10" t="str">
        <f t="shared" si="6"/>
        <v>NOT PROVIDED</v>
      </c>
      <c r="J95" s="10" t="str">
        <f t="shared" si="7"/>
        <v>LOW PRICE</v>
      </c>
    </row>
    <row r="96" spans="1:10" x14ac:dyDescent="0.35">
      <c r="A96" t="s">
        <v>277</v>
      </c>
      <c r="B96" s="11">
        <v>899</v>
      </c>
      <c r="C96" s="11">
        <v>1699</v>
      </c>
      <c r="D96" s="11">
        <f t="shared" si="4"/>
        <v>800</v>
      </c>
      <c r="E96" s="12">
        <v>0.47</v>
      </c>
      <c r="F96" s="12" t="str">
        <f t="shared" si="5"/>
        <v>HIGH DISCOUNT</v>
      </c>
      <c r="G96" s="10"/>
      <c r="H96" s="13"/>
      <c r="I96" s="10" t="str">
        <f t="shared" si="6"/>
        <v>NOT PROVIDED</v>
      </c>
      <c r="J96" s="10" t="str">
        <f t="shared" si="7"/>
        <v>LOW PRICE</v>
      </c>
    </row>
    <row r="97" spans="1:10" x14ac:dyDescent="0.35">
      <c r="A97" t="s">
        <v>278</v>
      </c>
      <c r="B97" s="11">
        <v>1200</v>
      </c>
      <c r="C97" s="11">
        <v>2400</v>
      </c>
      <c r="D97" s="11">
        <f t="shared" si="4"/>
        <v>1200</v>
      </c>
      <c r="E97" s="12">
        <v>0.5</v>
      </c>
      <c r="F97" s="12" t="str">
        <f t="shared" si="5"/>
        <v>HIGH DISCOUNT</v>
      </c>
      <c r="G97" s="10"/>
      <c r="H97" s="13"/>
      <c r="I97" s="10" t="str">
        <f t="shared" si="6"/>
        <v>NOT PROVIDED</v>
      </c>
      <c r="J97" s="10" t="str">
        <f t="shared" si="7"/>
        <v>MEDIUM PRICE</v>
      </c>
    </row>
    <row r="98" spans="1:10" x14ac:dyDescent="0.35">
      <c r="A98" t="s">
        <v>280</v>
      </c>
      <c r="B98" s="11">
        <v>1526</v>
      </c>
      <c r="C98" s="11">
        <v>1660</v>
      </c>
      <c r="D98" s="11">
        <f t="shared" si="4"/>
        <v>134</v>
      </c>
      <c r="E98" s="12">
        <v>0.08</v>
      </c>
      <c r="F98" s="12" t="str">
        <f t="shared" si="5"/>
        <v>LOW DISCOUNT</v>
      </c>
      <c r="G98" s="10"/>
      <c r="H98" s="13"/>
      <c r="I98" s="10" t="str">
        <f t="shared" si="6"/>
        <v>NOT PROVIDED</v>
      </c>
      <c r="J98" s="10" t="str">
        <f t="shared" si="7"/>
        <v>MEDIUM PRICE</v>
      </c>
    </row>
    <row r="99" spans="1:10" x14ac:dyDescent="0.35">
      <c r="A99" t="s">
        <v>282</v>
      </c>
      <c r="B99" s="11">
        <v>1462</v>
      </c>
      <c r="C99" s="11">
        <v>1499</v>
      </c>
      <c r="D99" s="11">
        <f t="shared" si="4"/>
        <v>37</v>
      </c>
      <c r="E99" s="12">
        <v>0.02</v>
      </c>
      <c r="F99" s="12" t="str">
        <f t="shared" si="5"/>
        <v>LOW DISCOUNT</v>
      </c>
      <c r="G99" s="10"/>
      <c r="H99" s="13"/>
      <c r="I99" s="10" t="str">
        <f t="shared" si="6"/>
        <v>NOT PROVIDED</v>
      </c>
      <c r="J99" s="10" t="str">
        <f t="shared" si="7"/>
        <v>MEDIUM PRICE</v>
      </c>
    </row>
    <row r="100" spans="1:10" x14ac:dyDescent="0.35">
      <c r="A100" t="s">
        <v>284</v>
      </c>
      <c r="B100" s="11">
        <v>248</v>
      </c>
      <c r="C100" s="11">
        <v>486</v>
      </c>
      <c r="D100" s="11">
        <f t="shared" si="4"/>
        <v>238</v>
      </c>
      <c r="E100" s="12">
        <v>0.49</v>
      </c>
      <c r="F100" s="12" t="str">
        <f t="shared" si="5"/>
        <v>HIGH DISCOUNT</v>
      </c>
      <c r="G100" s="10"/>
      <c r="H100" s="13"/>
      <c r="I100" s="10" t="str">
        <f t="shared" si="6"/>
        <v>NOT PROVIDED</v>
      </c>
      <c r="J100" s="10" t="str">
        <f t="shared" si="7"/>
        <v>LOW PRICE</v>
      </c>
    </row>
    <row r="101" spans="1:10" x14ac:dyDescent="0.35">
      <c r="A101" t="s">
        <v>287</v>
      </c>
      <c r="B101" s="11">
        <v>3546</v>
      </c>
      <c r="C101" s="11">
        <v>3699</v>
      </c>
      <c r="D101" s="11">
        <f t="shared" si="4"/>
        <v>153</v>
      </c>
      <c r="E101" s="12">
        <v>0.04</v>
      </c>
      <c r="F101" s="12" t="str">
        <f t="shared" si="5"/>
        <v>LOW DISCOUNT</v>
      </c>
      <c r="G101" s="10"/>
      <c r="H101" s="13"/>
      <c r="I101" s="10" t="str">
        <f t="shared" si="6"/>
        <v>NOT PROVIDED</v>
      </c>
      <c r="J101" s="10" t="str">
        <f t="shared" si="7"/>
        <v>HIGH PRICE</v>
      </c>
    </row>
    <row r="102" spans="1:10" x14ac:dyDescent="0.35">
      <c r="A102" t="s">
        <v>289</v>
      </c>
      <c r="B102" s="11">
        <v>525</v>
      </c>
      <c r="C102" s="11">
        <v>1029</v>
      </c>
      <c r="D102" s="11">
        <f t="shared" si="4"/>
        <v>504</v>
      </c>
      <c r="E102" s="12">
        <v>0.49</v>
      </c>
      <c r="F102" s="12" t="str">
        <f t="shared" si="5"/>
        <v>HIGH DISCOUNT</v>
      </c>
      <c r="G102" s="10"/>
      <c r="H102" s="13"/>
      <c r="I102" s="10" t="str">
        <f t="shared" si="6"/>
        <v>NOT PROVIDED</v>
      </c>
      <c r="J102" s="10" t="str">
        <f t="shared" si="7"/>
        <v>LOW PRICE</v>
      </c>
    </row>
    <row r="103" spans="1:10" x14ac:dyDescent="0.35">
      <c r="A103" t="s">
        <v>292</v>
      </c>
      <c r="B103" s="11">
        <v>1080</v>
      </c>
      <c r="C103" s="11">
        <v>1874</v>
      </c>
      <c r="D103" s="11">
        <f t="shared" si="4"/>
        <v>794</v>
      </c>
      <c r="E103" s="12">
        <v>0.42</v>
      </c>
      <c r="F103" s="12" t="str">
        <f t="shared" si="5"/>
        <v>HIGH DISCOUNT</v>
      </c>
      <c r="G103" s="10"/>
      <c r="H103" s="13"/>
      <c r="I103" s="10" t="str">
        <f t="shared" si="6"/>
        <v>NOT PROVIDED</v>
      </c>
      <c r="J103" s="10" t="str">
        <f t="shared" si="7"/>
        <v>MEDIUM PRICE</v>
      </c>
    </row>
    <row r="104" spans="1:10" x14ac:dyDescent="0.35">
      <c r="A104" t="s">
        <v>295</v>
      </c>
      <c r="B104" s="11">
        <v>3640</v>
      </c>
      <c r="C104" s="11">
        <v>4588</v>
      </c>
      <c r="D104" s="11">
        <f t="shared" si="4"/>
        <v>948</v>
      </c>
      <c r="E104" s="12">
        <v>0.21</v>
      </c>
      <c r="F104" s="12" t="str">
        <f t="shared" si="5"/>
        <v>MEDIUM DISCOUNT</v>
      </c>
      <c r="G104" s="10">
        <v>1</v>
      </c>
      <c r="H104" s="13">
        <v>5</v>
      </c>
      <c r="I104" s="10" t="str">
        <f t="shared" si="6"/>
        <v>EXCELLENT</v>
      </c>
      <c r="J104" s="10" t="str">
        <f t="shared" si="7"/>
        <v>HIGH PRICE</v>
      </c>
    </row>
    <row r="105" spans="1:10" x14ac:dyDescent="0.35">
      <c r="A105" t="s">
        <v>298</v>
      </c>
      <c r="B105" s="11">
        <v>1420</v>
      </c>
      <c r="C105" s="11">
        <v>2420</v>
      </c>
      <c r="D105" s="11">
        <f t="shared" si="4"/>
        <v>1000</v>
      </c>
      <c r="E105" s="12">
        <v>0.41</v>
      </c>
      <c r="F105" s="12" t="str">
        <f t="shared" si="5"/>
        <v>HIGH DISCOUNT</v>
      </c>
      <c r="G105" s="10"/>
      <c r="H105" s="13"/>
      <c r="I105" s="10" t="str">
        <f t="shared" si="6"/>
        <v>NOT PROVIDED</v>
      </c>
      <c r="J105" s="10" t="str">
        <f t="shared" si="7"/>
        <v>MEDIUM PRICE</v>
      </c>
    </row>
    <row r="106" spans="1:10" x14ac:dyDescent="0.35">
      <c r="A106" t="s">
        <v>301</v>
      </c>
      <c r="B106" s="11">
        <v>1875</v>
      </c>
      <c r="C106" s="11">
        <v>1899</v>
      </c>
      <c r="D106" s="11">
        <f t="shared" si="4"/>
        <v>24</v>
      </c>
      <c r="E106" s="12">
        <v>0.01</v>
      </c>
      <c r="F106" s="12" t="str">
        <f t="shared" si="5"/>
        <v>LOW DISCOUNT</v>
      </c>
      <c r="G106" s="10"/>
      <c r="H106" s="13"/>
      <c r="I106" s="10" t="str">
        <f t="shared" si="6"/>
        <v>NOT PROVIDED</v>
      </c>
      <c r="J106" s="10" t="str">
        <f t="shared" si="7"/>
        <v>MEDIUM PRICE</v>
      </c>
    </row>
    <row r="107" spans="1:10" x14ac:dyDescent="0.35">
      <c r="A107" t="s">
        <v>304</v>
      </c>
      <c r="B107" s="11">
        <v>198</v>
      </c>
      <c r="C107" s="11">
        <v>260</v>
      </c>
      <c r="D107" s="11">
        <f t="shared" si="4"/>
        <v>62</v>
      </c>
      <c r="E107" s="12">
        <v>0.24</v>
      </c>
      <c r="F107" s="12" t="str">
        <f t="shared" si="5"/>
        <v>MEDIUM DISCOUNT</v>
      </c>
      <c r="G107" s="10"/>
      <c r="H107" s="13"/>
      <c r="I107" s="10" t="str">
        <f t="shared" si="6"/>
        <v>NOT PROVIDED</v>
      </c>
      <c r="J107" s="10" t="str">
        <f t="shared" si="7"/>
        <v>LOW PRICE</v>
      </c>
    </row>
    <row r="108" spans="1:10" x14ac:dyDescent="0.35">
      <c r="A108" t="s">
        <v>307</v>
      </c>
      <c r="B108" s="11">
        <v>1150</v>
      </c>
      <c r="C108" s="11">
        <v>1737</v>
      </c>
      <c r="D108" s="11">
        <f t="shared" si="4"/>
        <v>587</v>
      </c>
      <c r="E108" s="12">
        <v>0.34</v>
      </c>
      <c r="F108" s="12" t="str">
        <f t="shared" si="5"/>
        <v>MEDIUM DISCOUNT</v>
      </c>
      <c r="G108" s="10"/>
      <c r="H108" s="13"/>
      <c r="I108" s="10" t="str">
        <f t="shared" si="6"/>
        <v>NOT PROVIDED</v>
      </c>
      <c r="J108" s="10" t="str">
        <f t="shared" si="7"/>
        <v>MEDIUM PRICE</v>
      </c>
    </row>
    <row r="109" spans="1:10" x14ac:dyDescent="0.35">
      <c r="A109" t="s">
        <v>310</v>
      </c>
      <c r="B109" s="11">
        <v>1190</v>
      </c>
      <c r="C109" s="11">
        <v>1810</v>
      </c>
      <c r="D109" s="11">
        <f t="shared" si="4"/>
        <v>620</v>
      </c>
      <c r="E109" s="12">
        <v>0.34</v>
      </c>
      <c r="F109" s="12" t="str">
        <f t="shared" si="5"/>
        <v>MEDIUM DISCOUNT</v>
      </c>
      <c r="G109" s="10"/>
      <c r="H109" s="13"/>
      <c r="I109" s="10" t="str">
        <f t="shared" si="6"/>
        <v>NOT PROVIDED</v>
      </c>
      <c r="J109" s="10" t="str">
        <f t="shared" si="7"/>
        <v>MEDIUM PRICE</v>
      </c>
    </row>
    <row r="110" spans="1:10" x14ac:dyDescent="0.35">
      <c r="A110" t="s">
        <v>312</v>
      </c>
      <c r="B110" s="11">
        <v>1658</v>
      </c>
      <c r="C110" s="11">
        <v>1699</v>
      </c>
      <c r="D110" s="11">
        <f t="shared" si="4"/>
        <v>41</v>
      </c>
      <c r="E110" s="12">
        <v>0.02</v>
      </c>
      <c r="F110" s="12" t="str">
        <f t="shared" si="5"/>
        <v>LOW DISCOUNT</v>
      </c>
      <c r="G110" s="10"/>
      <c r="H110" s="13"/>
      <c r="I110" s="10" t="str">
        <f t="shared" si="6"/>
        <v>NOT PROVIDED</v>
      </c>
      <c r="J110" s="10" t="str">
        <f t="shared" si="7"/>
        <v>MEDIUM PRICE</v>
      </c>
    </row>
    <row r="111" spans="1:10" x14ac:dyDescent="0.35">
      <c r="A111" t="s">
        <v>314</v>
      </c>
      <c r="B111" s="11">
        <v>1768</v>
      </c>
      <c r="C111" s="11">
        <v>1799</v>
      </c>
      <c r="D111" s="11">
        <f t="shared" si="4"/>
        <v>31</v>
      </c>
      <c r="E111" s="12">
        <v>0.02</v>
      </c>
      <c r="F111" s="12" t="str">
        <f t="shared" si="5"/>
        <v>LOW DISCOUNT</v>
      </c>
      <c r="G111" s="10"/>
      <c r="H111" s="13"/>
      <c r="I111" s="10" t="str">
        <f t="shared" si="6"/>
        <v>NOT PROVIDED</v>
      </c>
      <c r="J111" s="10" t="str">
        <f t="shared" si="7"/>
        <v>MEDIUM PRICE</v>
      </c>
    </row>
    <row r="112" spans="1:10" x14ac:dyDescent="0.35">
      <c r="A112" t="s">
        <v>316</v>
      </c>
      <c r="B112" s="11">
        <v>199</v>
      </c>
      <c r="C112" s="11">
        <v>553</v>
      </c>
      <c r="D112" s="11">
        <f t="shared" si="4"/>
        <v>354</v>
      </c>
      <c r="E112" s="12">
        <v>0.64</v>
      </c>
      <c r="F112" s="12" t="str">
        <f t="shared" si="5"/>
        <v>HIGH DISCOUNT</v>
      </c>
      <c r="G112" s="10"/>
      <c r="H112" s="13"/>
      <c r="I112" s="10" t="str">
        <f t="shared" si="6"/>
        <v>NOT PROVIDED</v>
      </c>
      <c r="J112" s="10" t="str">
        <f t="shared" si="7"/>
        <v>LOW PRICE</v>
      </c>
    </row>
    <row r="113" spans="1:10" x14ac:dyDescent="0.35">
      <c r="A113" t="s">
        <v>318</v>
      </c>
      <c r="B113" s="11">
        <v>450</v>
      </c>
      <c r="C113" s="11">
        <v>900</v>
      </c>
      <c r="D113" s="11">
        <f t="shared" si="4"/>
        <v>450</v>
      </c>
      <c r="E113" s="12">
        <v>0.5</v>
      </c>
      <c r="F113" s="12" t="str">
        <f t="shared" si="5"/>
        <v>HIGH DISCOUNT</v>
      </c>
      <c r="G113" s="10">
        <v>1</v>
      </c>
      <c r="H113" s="13">
        <v>2</v>
      </c>
      <c r="I113" s="10" t="str">
        <f t="shared" si="6"/>
        <v>POOR</v>
      </c>
      <c r="J113" s="10" t="str">
        <f t="shared" si="7"/>
        <v>LOW PRICE</v>
      </c>
    </row>
    <row r="114" spans="1:10" x14ac:dyDescent="0.35">
      <c r="A114" t="s">
        <v>320</v>
      </c>
      <c r="B114" s="11">
        <v>169</v>
      </c>
      <c r="C114" s="11">
        <v>320</v>
      </c>
      <c r="D114" s="11">
        <f t="shared" si="4"/>
        <v>151</v>
      </c>
      <c r="E114" s="12">
        <v>0.47</v>
      </c>
      <c r="F114" s="12" t="str">
        <f t="shared" si="5"/>
        <v>HIGH DISCOUNT</v>
      </c>
      <c r="G114" s="10"/>
      <c r="H114" s="13"/>
      <c r="I114" s="10" t="str">
        <f t="shared" si="6"/>
        <v>NOT PROVIDED</v>
      </c>
      <c r="J114" s="10" t="str">
        <f t="shared" si="7"/>
        <v>LOW PRICE</v>
      </c>
    </row>
    <row r="115" spans="1:10" x14ac:dyDescent="0.35">
      <c r="B115" s="11"/>
      <c r="C115" s="11"/>
      <c r="D115" s="11"/>
      <c r="E115" s="12"/>
      <c r="F115" s="12"/>
      <c r="G115" s="10"/>
      <c r="H115" s="13"/>
      <c r="I115" s="10"/>
      <c r="J115" s="10"/>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6493B-B714-4045-896D-2BF7A4F1A91D}">
  <dimension ref="A1:I110"/>
  <sheetViews>
    <sheetView topLeftCell="C1" workbookViewId="0">
      <selection activeCell="I16" sqref="I16"/>
    </sheetView>
  </sheetViews>
  <sheetFormatPr defaultRowHeight="14.5" x14ac:dyDescent="0.35"/>
  <cols>
    <col min="1" max="1" width="12.36328125" bestFit="1" customWidth="1"/>
    <col min="2" max="2" width="15.26953125" bestFit="1" customWidth="1"/>
    <col min="3" max="3" width="17.7265625" bestFit="1" customWidth="1"/>
    <col min="4" max="4" width="16.1796875" bestFit="1" customWidth="1"/>
    <col min="5" max="5" width="18.26953125" bestFit="1" customWidth="1"/>
    <col min="8" max="8" width="13.6328125" bestFit="1" customWidth="1"/>
    <col min="9" max="9" width="15.26953125" bestFit="1" customWidth="1"/>
  </cols>
  <sheetData>
    <row r="1" spans="1:9" x14ac:dyDescent="0.35">
      <c r="A1" s="22" t="s">
        <v>352</v>
      </c>
      <c r="B1" t="s">
        <v>358</v>
      </c>
    </row>
    <row r="2" spans="1:9" x14ac:dyDescent="0.35">
      <c r="A2" s="16" t="s">
        <v>356</v>
      </c>
      <c r="B2">
        <v>1</v>
      </c>
    </row>
    <row r="3" spans="1:9" x14ac:dyDescent="0.35">
      <c r="A3" s="16" t="s">
        <v>357</v>
      </c>
      <c r="B3">
        <v>1</v>
      </c>
    </row>
    <row r="10" spans="1:9" x14ac:dyDescent="0.35">
      <c r="A10" s="22" t="s">
        <v>352</v>
      </c>
      <c r="B10" t="s">
        <v>358</v>
      </c>
    </row>
    <row r="11" spans="1:9" x14ac:dyDescent="0.35">
      <c r="A11" s="16" t="s">
        <v>360</v>
      </c>
      <c r="B11">
        <v>1</v>
      </c>
    </row>
    <row r="12" spans="1:9" x14ac:dyDescent="0.35">
      <c r="A12" s="16" t="s">
        <v>357</v>
      </c>
      <c r="B12">
        <v>1</v>
      </c>
    </row>
    <row r="14" spans="1:9" x14ac:dyDescent="0.35">
      <c r="H14" s="22" t="s">
        <v>352</v>
      </c>
      <c r="I14" t="s">
        <v>358</v>
      </c>
    </row>
    <row r="15" spans="1:9" x14ac:dyDescent="0.35">
      <c r="H15" s="16" t="s">
        <v>353</v>
      </c>
      <c r="I15">
        <v>22</v>
      </c>
    </row>
    <row r="16" spans="1:9" x14ac:dyDescent="0.35">
      <c r="H16" s="16" t="s">
        <v>354</v>
      </c>
      <c r="I16">
        <v>23</v>
      </c>
    </row>
    <row r="17" spans="1:9" x14ac:dyDescent="0.35">
      <c r="H17" s="16" t="s">
        <v>355</v>
      </c>
      <c r="I17">
        <v>56</v>
      </c>
    </row>
    <row r="18" spans="1:9" x14ac:dyDescent="0.35">
      <c r="H18" s="16" t="s">
        <v>356</v>
      </c>
      <c r="I18">
        <v>12</v>
      </c>
    </row>
    <row r="19" spans="1:9" x14ac:dyDescent="0.35">
      <c r="H19" s="16" t="s">
        <v>357</v>
      </c>
      <c r="I19">
        <v>113</v>
      </c>
    </row>
    <row r="21" spans="1:9" x14ac:dyDescent="0.35">
      <c r="A21" s="22" t="s">
        <v>352</v>
      </c>
      <c r="B21" t="s">
        <v>363</v>
      </c>
    </row>
    <row r="22" spans="1:9" x14ac:dyDescent="0.35">
      <c r="A22" s="16" t="s">
        <v>367</v>
      </c>
      <c r="B22">
        <v>2.5</v>
      </c>
    </row>
    <row r="23" spans="1:9" x14ac:dyDescent="0.35">
      <c r="A23" s="16" t="s">
        <v>357</v>
      </c>
      <c r="B23">
        <v>2.5</v>
      </c>
    </row>
    <row r="32" spans="1:9" x14ac:dyDescent="0.35">
      <c r="A32" s="22" t="s">
        <v>352</v>
      </c>
      <c r="B32" t="s">
        <v>365</v>
      </c>
    </row>
    <row r="33" spans="1:2" x14ac:dyDescent="0.35">
      <c r="A33" s="16" t="s">
        <v>359</v>
      </c>
      <c r="B33">
        <v>10.806451612903226</v>
      </c>
    </row>
    <row r="34" spans="1:2" x14ac:dyDescent="0.35">
      <c r="A34" s="16" t="s">
        <v>360</v>
      </c>
      <c r="B34">
        <v>9.5</v>
      </c>
    </row>
    <row r="35" spans="1:2" x14ac:dyDescent="0.35">
      <c r="A35" s="16" t="s">
        <v>361</v>
      </c>
      <c r="B35">
        <v>15.909090909090908</v>
      </c>
    </row>
    <row r="36" spans="1:2" x14ac:dyDescent="0.35">
      <c r="A36" s="16" t="s">
        <v>357</v>
      </c>
      <c r="B36">
        <v>12.684210526315789</v>
      </c>
    </row>
    <row r="46" spans="1:2" x14ac:dyDescent="0.35">
      <c r="A46" s="22" t="s">
        <v>352</v>
      </c>
      <c r="B46" t="s">
        <v>363</v>
      </c>
    </row>
    <row r="47" spans="1:2" x14ac:dyDescent="0.35">
      <c r="A47" s="16" t="s">
        <v>47</v>
      </c>
      <c r="B47">
        <v>4.8</v>
      </c>
    </row>
    <row r="48" spans="1:2" x14ac:dyDescent="0.35">
      <c r="A48" s="16" t="s">
        <v>56</v>
      </c>
      <c r="B48">
        <v>5</v>
      </c>
    </row>
    <row r="49" spans="1:3" x14ac:dyDescent="0.35">
      <c r="A49" s="16" t="s">
        <v>245</v>
      </c>
      <c r="B49">
        <v>5</v>
      </c>
    </row>
    <row r="50" spans="1:3" x14ac:dyDescent="0.35">
      <c r="A50" s="16" t="s">
        <v>120</v>
      </c>
      <c r="B50">
        <v>5</v>
      </c>
    </row>
    <row r="51" spans="1:3" x14ac:dyDescent="0.35">
      <c r="A51" s="16" t="s">
        <v>117</v>
      </c>
      <c r="B51">
        <v>5</v>
      </c>
    </row>
    <row r="52" spans="1:3" x14ac:dyDescent="0.35">
      <c r="A52" s="16" t="s">
        <v>295</v>
      </c>
      <c r="B52">
        <v>5</v>
      </c>
    </row>
    <row r="53" spans="1:3" x14ac:dyDescent="0.35">
      <c r="A53" s="16" t="s">
        <v>63</v>
      </c>
      <c r="B53">
        <v>5</v>
      </c>
    </row>
    <row r="54" spans="1:3" x14ac:dyDescent="0.35">
      <c r="A54" s="16" t="s">
        <v>35</v>
      </c>
      <c r="B54">
        <v>4.8</v>
      </c>
    </row>
    <row r="55" spans="1:3" x14ac:dyDescent="0.35">
      <c r="A55" s="16" t="s">
        <v>60</v>
      </c>
      <c r="B55">
        <v>5</v>
      </c>
    </row>
    <row r="56" spans="1:3" x14ac:dyDescent="0.35">
      <c r="A56" s="16" t="s">
        <v>22</v>
      </c>
      <c r="B56">
        <v>4.8</v>
      </c>
    </row>
    <row r="57" spans="1:3" x14ac:dyDescent="0.35">
      <c r="A57" s="16" t="s">
        <v>357</v>
      </c>
      <c r="B57">
        <v>4.9399999999999995</v>
      </c>
    </row>
    <row r="62" spans="1:3" x14ac:dyDescent="0.35">
      <c r="B62" s="22" t="s">
        <v>352</v>
      </c>
      <c r="C62" t="s">
        <v>364</v>
      </c>
    </row>
    <row r="63" spans="1:3" x14ac:dyDescent="0.35">
      <c r="B63" s="16" t="s">
        <v>44</v>
      </c>
      <c r="C63">
        <v>39</v>
      </c>
    </row>
    <row r="64" spans="1:3" x14ac:dyDescent="0.35">
      <c r="B64" s="16" t="s">
        <v>194</v>
      </c>
      <c r="C64">
        <v>69</v>
      </c>
    </row>
    <row r="65" spans="2:4" x14ac:dyDescent="0.35">
      <c r="B65" s="16" t="s">
        <v>30</v>
      </c>
      <c r="C65">
        <v>55</v>
      </c>
    </row>
    <row r="66" spans="2:4" x14ac:dyDescent="0.35">
      <c r="B66" s="16" t="s">
        <v>68</v>
      </c>
      <c r="C66">
        <v>44</v>
      </c>
    </row>
    <row r="67" spans="2:4" x14ac:dyDescent="0.35">
      <c r="B67" s="16" t="s">
        <v>97</v>
      </c>
      <c r="C67">
        <v>20</v>
      </c>
    </row>
    <row r="68" spans="2:4" x14ac:dyDescent="0.35">
      <c r="B68" s="16" t="s">
        <v>114</v>
      </c>
      <c r="C68">
        <v>32</v>
      </c>
    </row>
    <row r="69" spans="2:4" x14ac:dyDescent="0.35">
      <c r="B69" s="16" t="s">
        <v>111</v>
      </c>
      <c r="C69">
        <v>20</v>
      </c>
    </row>
    <row r="70" spans="2:4" x14ac:dyDescent="0.35">
      <c r="B70" s="16" t="s">
        <v>89</v>
      </c>
      <c r="C70">
        <v>49</v>
      </c>
    </row>
    <row r="71" spans="2:4" x14ac:dyDescent="0.35">
      <c r="B71" s="16" t="s">
        <v>14</v>
      </c>
      <c r="C71">
        <v>24</v>
      </c>
    </row>
    <row r="72" spans="2:4" x14ac:dyDescent="0.35">
      <c r="B72" s="16" t="s">
        <v>122</v>
      </c>
      <c r="C72">
        <v>36</v>
      </c>
    </row>
    <row r="73" spans="2:4" x14ac:dyDescent="0.35">
      <c r="B73" s="16" t="s">
        <v>357</v>
      </c>
      <c r="C73">
        <v>388</v>
      </c>
    </row>
    <row r="76" spans="2:4" x14ac:dyDescent="0.35">
      <c r="C76" s="22" t="s">
        <v>352</v>
      </c>
      <c r="D76" t="s">
        <v>366</v>
      </c>
    </row>
    <row r="77" spans="2:4" x14ac:dyDescent="0.35">
      <c r="C77" s="16" t="s">
        <v>71</v>
      </c>
      <c r="D77" s="1">
        <v>0.53</v>
      </c>
    </row>
    <row r="78" spans="2:4" x14ac:dyDescent="0.35">
      <c r="C78" s="16" t="s">
        <v>190</v>
      </c>
      <c r="D78" s="1">
        <v>0.55000000000000004</v>
      </c>
    </row>
    <row r="79" spans="2:4" x14ac:dyDescent="0.35">
      <c r="C79" s="16" t="s">
        <v>316</v>
      </c>
      <c r="D79" s="1">
        <v>0.64</v>
      </c>
    </row>
    <row r="80" spans="2:4" x14ac:dyDescent="0.35">
      <c r="C80" s="16" t="s">
        <v>120</v>
      </c>
      <c r="D80" s="1">
        <v>0.53</v>
      </c>
    </row>
    <row r="81" spans="3:4" x14ac:dyDescent="0.35">
      <c r="C81" s="16" t="s">
        <v>154</v>
      </c>
      <c r="D81" s="1">
        <v>0.55000000000000004</v>
      </c>
    </row>
    <row r="82" spans="3:4" x14ac:dyDescent="0.35">
      <c r="C82" s="16" t="s">
        <v>102</v>
      </c>
      <c r="D82" s="1">
        <v>0.52</v>
      </c>
    </row>
    <row r="83" spans="3:4" x14ac:dyDescent="0.35">
      <c r="C83" s="16" t="s">
        <v>198</v>
      </c>
      <c r="D83" s="1">
        <v>0.52</v>
      </c>
    </row>
    <row r="84" spans="3:4" x14ac:dyDescent="0.35">
      <c r="C84" s="16" t="s">
        <v>85</v>
      </c>
      <c r="D84" s="1">
        <v>0.54</v>
      </c>
    </row>
    <row r="85" spans="3:4" x14ac:dyDescent="0.35">
      <c r="C85" s="16" t="s">
        <v>35</v>
      </c>
      <c r="D85" s="1">
        <v>0.55000000000000004</v>
      </c>
    </row>
    <row r="86" spans="3:4" x14ac:dyDescent="0.35">
      <c r="C86" s="16" t="s">
        <v>186</v>
      </c>
      <c r="D86" s="1">
        <v>0.54</v>
      </c>
    </row>
    <row r="87" spans="3:4" x14ac:dyDescent="0.35">
      <c r="C87" s="16" t="s">
        <v>357</v>
      </c>
      <c r="D87" s="1">
        <v>0.54727272727272724</v>
      </c>
    </row>
    <row r="98" spans="3:4" x14ac:dyDescent="0.35">
      <c r="C98" t="s">
        <v>362</v>
      </c>
      <c r="D98" t="s">
        <v>365</v>
      </c>
    </row>
    <row r="99" spans="3:4" x14ac:dyDescent="0.35">
      <c r="C99">
        <v>221.69999999999996</v>
      </c>
      <c r="D99">
        <v>12.684210526315789</v>
      </c>
    </row>
    <row r="109" spans="3:4" x14ac:dyDescent="0.35">
      <c r="C109" t="s">
        <v>366</v>
      </c>
      <c r="D109" t="s">
        <v>365</v>
      </c>
    </row>
    <row r="110" spans="3:4" x14ac:dyDescent="0.35">
      <c r="C110" s="1">
        <v>0.36681415929203537</v>
      </c>
      <c r="D110">
        <v>12.684210526315789</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A6CF9-D636-487B-B344-16F316F38DB4}">
  <dimension ref="B1:H21"/>
  <sheetViews>
    <sheetView tabSelected="1" workbookViewId="0">
      <selection activeCell="I10" sqref="I10"/>
    </sheetView>
  </sheetViews>
  <sheetFormatPr defaultRowHeight="14.5" x14ac:dyDescent="0.35"/>
  <cols>
    <col min="1" max="1" width="74.36328125" style="30" customWidth="1"/>
    <col min="2" max="2" width="18.453125" style="27" bestFit="1" customWidth="1"/>
    <col min="3" max="3" width="11.1796875" style="27" bestFit="1" customWidth="1"/>
    <col min="4" max="4" width="16.26953125" style="27" bestFit="1" customWidth="1"/>
    <col min="5" max="5" width="10.36328125" style="28" bestFit="1" customWidth="1"/>
    <col min="6" max="6" width="20.26953125" style="28" bestFit="1" customWidth="1"/>
    <col min="7" max="7" width="8.7265625" style="30"/>
    <col min="8" max="8" width="9.1796875" style="29" bestFit="1" customWidth="1"/>
    <col min="9" max="9" width="18" style="30" bestFit="1" customWidth="1"/>
    <col min="10" max="10" width="16.36328125" style="30" bestFit="1" customWidth="1"/>
    <col min="11" max="16384" width="8.7265625" style="30"/>
  </cols>
  <sheetData>
    <row r="1" spans="2:8" s="25" customFormat="1" ht="18.5" x14ac:dyDescent="0.45">
      <c r="B1" s="23"/>
      <c r="C1" s="23"/>
      <c r="D1" s="23"/>
      <c r="E1" s="24"/>
      <c r="F1" s="24"/>
      <c r="H1" s="26"/>
    </row>
    <row r="21" spans="7:7" x14ac:dyDescent="0.35">
      <c r="G21" s="2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Excel_jumia_dataset</vt:lpstr>
      <vt:lpstr>CLEANED</vt:lpstr>
      <vt:lpstr>Sheet11</vt:lpstr>
      <vt:lpstr>DESCRIPTIVE STATISTICS</vt:lpstr>
      <vt:lpstr>TOP 5 LOWEST RANKING</vt:lpstr>
      <vt:lpstr>TOP 10 RATING BY DISCOUNT </vt:lpstr>
      <vt:lpstr>TOP 10 BY NUMBER OF REVIEWS</vt:lpstr>
      <vt:lpstr>TOP 10 HIGHEST RATED PRODUCTS</vt:lpstr>
      <vt:lpstr>TOP 5 LOWEST RATED PRODUCTS</vt:lpstr>
      <vt:lpstr>HIGH RATING +LOW DISCOUNT PRODU</vt:lpstr>
      <vt:lpstr>TREND ANALYSIS</vt:lpstr>
      <vt:lpstr>SLICERS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dc:creator>
  <cp:lastModifiedBy>Hope Gatugi</cp:lastModifiedBy>
  <dcterms:created xsi:type="dcterms:W3CDTF">2026-09-05T10:42:38Z</dcterms:created>
  <dcterms:modified xsi:type="dcterms:W3CDTF">2026-09-15T13:09:25Z</dcterms:modified>
</cp:coreProperties>
</file>